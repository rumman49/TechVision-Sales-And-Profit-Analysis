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F:\Data Analytics\adv excel projects\Sales &amp; profit analysis for 2024\"/>
    </mc:Choice>
  </mc:AlternateContent>
  <xr:revisionPtr revIDLastSave="0" documentId="13_ncr:1_{A9FF4B89-2F51-45A1-BEFF-92BC093D8173}" xr6:coauthVersionLast="47" xr6:coauthVersionMax="47" xr10:uidLastSave="{00000000-0000-0000-0000-000000000000}"/>
  <bookViews>
    <workbookView xWindow="-120" yWindow="-120" windowWidth="20730" windowHeight="11310" tabRatio="693" activeTab="1" xr2:uid="{AC3EFBF8-DF61-4F3B-8742-B8D8725F3348}"/>
  </bookViews>
  <sheets>
    <sheet name="Techvision_Sales_Dataset" sheetId="1" r:id="rId1"/>
    <sheet name="Pivot_Table" sheetId="2" r:id="rId2"/>
    <sheet name="Dashboard" sheetId="3" r:id="rId3"/>
  </sheets>
  <definedNames>
    <definedName name="Slicer_City1">#N/A</definedName>
    <definedName name="Slicer_Months">#N/A</definedName>
    <definedName name="Slicer_Product1">#N/A</definedName>
    <definedName name="Slicer_Quarter1">#N/A</definedName>
    <definedName name="Slicer_Region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<sst xmlns="http://schemas.openxmlformats.org/spreadsheetml/2006/main" count="1273" uniqueCount="267">
  <si>
    <t>Transaction_ID</t>
  </si>
  <si>
    <t>Date</t>
  </si>
  <si>
    <t>Quarter</t>
  </si>
  <si>
    <t>Region</t>
  </si>
  <si>
    <t>City</t>
  </si>
  <si>
    <t>Quantity</t>
  </si>
  <si>
    <t>Unit_Price</t>
  </si>
  <si>
    <t>Total_Sale</t>
  </si>
  <si>
    <t>COGS</t>
  </si>
  <si>
    <t>Profit</t>
  </si>
  <si>
    <t>Profit_Margin_%</t>
  </si>
  <si>
    <t>TXN00001</t>
  </si>
  <si>
    <t>Q2</t>
  </si>
  <si>
    <t>West</t>
  </si>
  <si>
    <t>Mumbai</t>
  </si>
  <si>
    <t>Laptop</t>
  </si>
  <si>
    <t>TXN00002</t>
  </si>
  <si>
    <t>May</t>
  </si>
  <si>
    <t>East</t>
  </si>
  <si>
    <t>Guwahati</t>
  </si>
  <si>
    <t>TXN00003</t>
  </si>
  <si>
    <t>Bhubaneswar</t>
  </si>
  <si>
    <t>Phone</t>
  </si>
  <si>
    <t>TXN00004</t>
  </si>
  <si>
    <t>Q3</t>
  </si>
  <si>
    <t>TXN00005</t>
  </si>
  <si>
    <t>Q4</t>
  </si>
  <si>
    <t>North</t>
  </si>
  <si>
    <t>Jaipur</t>
  </si>
  <si>
    <t>TXN00006</t>
  </si>
  <si>
    <t>Nagpur</t>
  </si>
  <si>
    <t>TXN00007</t>
  </si>
  <si>
    <t>TXN00008</t>
  </si>
  <si>
    <t>TXN00009</t>
  </si>
  <si>
    <t>Q1</t>
  </si>
  <si>
    <t>South</t>
  </si>
  <si>
    <t>Kochi</t>
  </si>
  <si>
    <t>TXN00010</t>
  </si>
  <si>
    <t>TXN00011</t>
  </si>
  <si>
    <t>TV</t>
  </si>
  <si>
    <t>TXN00012</t>
  </si>
  <si>
    <t>Chennai</t>
  </si>
  <si>
    <t>TXN00013</t>
  </si>
  <si>
    <t>TXN00014</t>
  </si>
  <si>
    <t>Bangalore</t>
  </si>
  <si>
    <t>TXN00015</t>
  </si>
  <si>
    <t>TXN00016</t>
  </si>
  <si>
    <t>TXN00017</t>
  </si>
  <si>
    <t>TXN00018</t>
  </si>
  <si>
    <t>Raipur</t>
  </si>
  <si>
    <t>TXN00019</t>
  </si>
  <si>
    <t>TXN00020</t>
  </si>
  <si>
    <t>Bhopal</t>
  </si>
  <si>
    <t>TXN00021</t>
  </si>
  <si>
    <t>Lucknow</t>
  </si>
  <si>
    <t>TXN00022</t>
  </si>
  <si>
    <t>Kolkata</t>
  </si>
  <si>
    <t>TXN00023</t>
  </si>
  <si>
    <t>Pune</t>
  </si>
  <si>
    <t>TXN00024</t>
  </si>
  <si>
    <t>Vadodara</t>
  </si>
  <si>
    <t>TXN00025</t>
  </si>
  <si>
    <t>TXN00026</t>
  </si>
  <si>
    <t>TXN00027</t>
  </si>
  <si>
    <t>Indore</t>
  </si>
  <si>
    <t>TXN00028</t>
  </si>
  <si>
    <t>TXN00029</t>
  </si>
  <si>
    <t>TXN00030</t>
  </si>
  <si>
    <t>TXN00031</t>
  </si>
  <si>
    <t>Delhi</t>
  </si>
  <si>
    <t>TXN00032</t>
  </si>
  <si>
    <t>TXN00033</t>
  </si>
  <si>
    <t>TXN00034</t>
  </si>
  <si>
    <t>TXN00035</t>
  </si>
  <si>
    <t>Ahmedabad</t>
  </si>
  <si>
    <t>TXN00036</t>
  </si>
  <si>
    <t>TXN00037</t>
  </si>
  <si>
    <t>TXN00038</t>
  </si>
  <si>
    <t>Chandigarh</t>
  </si>
  <si>
    <t>TXN00039</t>
  </si>
  <si>
    <t>TXN00040</t>
  </si>
  <si>
    <t>TXN00041</t>
  </si>
  <si>
    <t>TXN00042</t>
  </si>
  <si>
    <t>TXN00043</t>
  </si>
  <si>
    <t>TXN00044</t>
  </si>
  <si>
    <t>TXN00045</t>
  </si>
  <si>
    <t>TXN00046</t>
  </si>
  <si>
    <t>TXN00047</t>
  </si>
  <si>
    <t>Patna</t>
  </si>
  <si>
    <t>TXN00048</t>
  </si>
  <si>
    <t>Imphal</t>
  </si>
  <si>
    <t>TXN00049</t>
  </si>
  <si>
    <t>TXN00050</t>
  </si>
  <si>
    <t>TXN00051</t>
  </si>
  <si>
    <t>TXN00052</t>
  </si>
  <si>
    <t>TXN00053</t>
  </si>
  <si>
    <t>TXN00054</t>
  </si>
  <si>
    <t>Hyderabad</t>
  </si>
  <si>
    <t>TXN00055</t>
  </si>
  <si>
    <t>TXN00056</t>
  </si>
  <si>
    <t>TXN00057</t>
  </si>
  <si>
    <t>TXN00058</t>
  </si>
  <si>
    <t>TXN00059</t>
  </si>
  <si>
    <t>TXN00060</t>
  </si>
  <si>
    <t>TXN00061</t>
  </si>
  <si>
    <t>TXN00062</t>
  </si>
  <si>
    <t>TXN00063</t>
  </si>
  <si>
    <t>TXN00064</t>
  </si>
  <si>
    <t>TXN00065</t>
  </si>
  <si>
    <t>Shillong</t>
  </si>
  <si>
    <t>TXN00066</t>
  </si>
  <si>
    <t>TXN00067</t>
  </si>
  <si>
    <t>TXN00068</t>
  </si>
  <si>
    <t>TXN00069</t>
  </si>
  <si>
    <t>TXN00070</t>
  </si>
  <si>
    <t>TXN00071</t>
  </si>
  <si>
    <t>TXN00072</t>
  </si>
  <si>
    <t>TXN00073</t>
  </si>
  <si>
    <t>TXN00074</t>
  </si>
  <si>
    <t>TXN00075</t>
  </si>
  <si>
    <t>TXN00076</t>
  </si>
  <si>
    <t>TXN00077</t>
  </si>
  <si>
    <t>TXN00078</t>
  </si>
  <si>
    <t>TXN00079</t>
  </si>
  <si>
    <t>TXN00080</t>
  </si>
  <si>
    <t>TXN00081</t>
  </si>
  <si>
    <t>TXN00082</t>
  </si>
  <si>
    <t>TXN00083</t>
  </si>
  <si>
    <t>TXN00084</t>
  </si>
  <si>
    <t>TXN00085</t>
  </si>
  <si>
    <t>TXN00086</t>
  </si>
  <si>
    <t>TXN00087</t>
  </si>
  <si>
    <t>TXN00088</t>
  </si>
  <si>
    <t>TXN00089</t>
  </si>
  <si>
    <t>TXN00090</t>
  </si>
  <si>
    <t>TXN00091</t>
  </si>
  <si>
    <t>TXN00092</t>
  </si>
  <si>
    <t>TXN00093</t>
  </si>
  <si>
    <t>TXN00094</t>
  </si>
  <si>
    <t>TXN00095</t>
  </si>
  <si>
    <t>TXN00096</t>
  </si>
  <si>
    <t>TXN00097</t>
  </si>
  <si>
    <t>TXN00098</t>
  </si>
  <si>
    <t>TXN00099</t>
  </si>
  <si>
    <t>TXN00100</t>
  </si>
  <si>
    <t>TXN00101</t>
  </si>
  <si>
    <t>TXN00102</t>
  </si>
  <si>
    <t>TXN00103</t>
  </si>
  <si>
    <t>TXN00104</t>
  </si>
  <si>
    <t>TXN00105</t>
  </si>
  <si>
    <t>TXN00106</t>
  </si>
  <si>
    <t>TXN00107</t>
  </si>
  <si>
    <t>TXN00108</t>
  </si>
  <si>
    <t>TXN00109</t>
  </si>
  <si>
    <t>TXN00110</t>
  </si>
  <si>
    <t>TXN00111</t>
  </si>
  <si>
    <t>TXN00112</t>
  </si>
  <si>
    <t>TXN00113</t>
  </si>
  <si>
    <t>TXN00114</t>
  </si>
  <si>
    <t>TXN00115</t>
  </si>
  <si>
    <t>TXN00116</t>
  </si>
  <si>
    <t>TXN00117</t>
  </si>
  <si>
    <t>TXN00118</t>
  </si>
  <si>
    <t>TXN00119</t>
  </si>
  <si>
    <t>TXN00120</t>
  </si>
  <si>
    <t>TXN00121</t>
  </si>
  <si>
    <t>TXN00122</t>
  </si>
  <si>
    <t>TXN00123</t>
  </si>
  <si>
    <t>TXN00124</t>
  </si>
  <si>
    <t>TXN00125</t>
  </si>
  <si>
    <t>TXN00126</t>
  </si>
  <si>
    <t>TXN00127</t>
  </si>
  <si>
    <t>TXN00128</t>
  </si>
  <si>
    <t>TXN00129</t>
  </si>
  <si>
    <t>TXN00130</t>
  </si>
  <si>
    <t>TXN00131</t>
  </si>
  <si>
    <t>TXN00132</t>
  </si>
  <si>
    <t>TXN00133</t>
  </si>
  <si>
    <t>TXN00134</t>
  </si>
  <si>
    <t>TXN00135</t>
  </si>
  <si>
    <t>TXN00136</t>
  </si>
  <si>
    <t>TXN00137</t>
  </si>
  <si>
    <t>TXN00138</t>
  </si>
  <si>
    <t>TXN00139</t>
  </si>
  <si>
    <t>TXN00140</t>
  </si>
  <si>
    <t>TXN00141</t>
  </si>
  <si>
    <t>TXN00142</t>
  </si>
  <si>
    <t>TXN00143</t>
  </si>
  <si>
    <t>TXN00144</t>
  </si>
  <si>
    <t>TXN00145</t>
  </si>
  <si>
    <t>TXN00146</t>
  </si>
  <si>
    <t>TXN00147</t>
  </si>
  <si>
    <t>Aizawl</t>
  </si>
  <si>
    <t>TXN00148</t>
  </si>
  <si>
    <t>TXN00149</t>
  </si>
  <si>
    <t>TXN00150</t>
  </si>
  <si>
    <t>TXN00151</t>
  </si>
  <si>
    <t>TXN00152</t>
  </si>
  <si>
    <t>TXN00153</t>
  </si>
  <si>
    <t>TXN00154</t>
  </si>
  <si>
    <t>TXN00155</t>
  </si>
  <si>
    <t>TXN00156</t>
  </si>
  <si>
    <t>TXN00157</t>
  </si>
  <si>
    <t>TXN00158</t>
  </si>
  <si>
    <t>TXN00159</t>
  </si>
  <si>
    <t>TXN00160</t>
  </si>
  <si>
    <t>TXN00161</t>
  </si>
  <si>
    <t>TXN00162</t>
  </si>
  <si>
    <t>TXN00163</t>
  </si>
  <si>
    <t>TXN00164</t>
  </si>
  <si>
    <t>TXN00165</t>
  </si>
  <si>
    <t>TXN00166</t>
  </si>
  <si>
    <t>TXN00167</t>
  </si>
  <si>
    <t>TXN00168</t>
  </si>
  <si>
    <t>TXN00169</t>
  </si>
  <si>
    <t>TXN00170</t>
  </si>
  <si>
    <t>TXN00171</t>
  </si>
  <si>
    <t>TXN00172</t>
  </si>
  <si>
    <t>TXN00173</t>
  </si>
  <si>
    <t>TXN00174</t>
  </si>
  <si>
    <t>TXN00175</t>
  </si>
  <si>
    <t>TXN00176</t>
  </si>
  <si>
    <t>TXN00177</t>
  </si>
  <si>
    <t>TXN00178</t>
  </si>
  <si>
    <t>TXN00179</t>
  </si>
  <si>
    <t>TXN00180</t>
  </si>
  <si>
    <t>TXN00181</t>
  </si>
  <si>
    <t>TXN00182</t>
  </si>
  <si>
    <t>TXN00183</t>
  </si>
  <si>
    <t>TXN00184</t>
  </si>
  <si>
    <t>TXN00185</t>
  </si>
  <si>
    <t>TXN00186</t>
  </si>
  <si>
    <t>TXN00187</t>
  </si>
  <si>
    <t>TXN00188</t>
  </si>
  <si>
    <t>TXN00189</t>
  </si>
  <si>
    <t>TXN00190</t>
  </si>
  <si>
    <t>TXN00191</t>
  </si>
  <si>
    <t>TXN00192</t>
  </si>
  <si>
    <t>TXN00193</t>
  </si>
  <si>
    <t>TXN00194</t>
  </si>
  <si>
    <t>TXN00195</t>
  </si>
  <si>
    <t>TXN00196</t>
  </si>
  <si>
    <t>TXN00197</t>
  </si>
  <si>
    <t>TXN00198</t>
  </si>
  <si>
    <t>Accessories</t>
  </si>
  <si>
    <t>Product</t>
  </si>
  <si>
    <t>Row Labels</t>
  </si>
  <si>
    <t>Grand Total</t>
  </si>
  <si>
    <t>Sum of Profit</t>
  </si>
  <si>
    <t>Sum of Sale</t>
  </si>
  <si>
    <t>Apr</t>
  </si>
  <si>
    <t>Jul</t>
  </si>
  <si>
    <t>Dec</t>
  </si>
  <si>
    <t>Sep</t>
  </si>
  <si>
    <t>Nov</t>
  </si>
  <si>
    <t>Feb</t>
  </si>
  <si>
    <t>Jun</t>
  </si>
  <si>
    <t>Aug</t>
  </si>
  <si>
    <t>Jan</t>
  </si>
  <si>
    <t>Mar</t>
  </si>
  <si>
    <t>Oct</t>
  </si>
  <si>
    <t>Months</t>
  </si>
  <si>
    <t>Average of Profit</t>
  </si>
  <si>
    <t>Sum of Total_Sale</t>
  </si>
  <si>
    <t>Average of Total_Sale</t>
  </si>
  <si>
    <t xml:space="preserve"> </t>
  </si>
  <si>
    <t>TXN00199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</si>
</sst>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8" formatCode="&quot;₹&quot;\ #,##0.00;[Red]&quot;₹&quot;\ \-#,##0.00"/>
    <numFmt numFmtId="164" formatCode="&quot;₹&quot;\ #,##0"/>
  </numFmts>
  <fonts count="3" x14ac:knownFonts="1">
    <font>
      <sz val="11"/>
      <color theme="1"/>
      <name val="Gill Sans MT"/>
      <family val="2"/>
      <scheme val="minor"/>
    </font>
    <font>
      <sz val="11"/>
      <color theme="0"/>
      <name val="Gill Sans MT"/>
      <family val="2"/>
      <scheme val="minor"/>
    </font>
    <font>
      <b/>
      <sz val="11"/>
      <color theme="1"/>
      <name val="Gill Sans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8" fontId="0" fillId="0" borderId="0" xfId="0" applyNumberFormat="1"/>
    <xf numFmtId="0" fontId="1" fillId="0" borderId="0" xfId="0" applyFont="1" applyAlignment="1">
      <alignment horizontal="center"/>
    </xf>
    <xf numFmtId="8" fontId="1" fillId="0" borderId="0" xfId="0" applyNumberFormat="1" applyFont="1" applyAlignment="1">
      <alignment horizontal="center"/>
    </xf>
    <xf numFmtId="0" fontId="1" fillId="0" borderId="0" xfId="0" applyFont="1"/>
    <xf numFmtId="0" fontId="0" fillId="0" borderId="0" xfId="0" pivotButton="1"/>
    <xf numFmtId="0" fontId="0" fillId="0" borderId="0" xfId="0" applyAlignment="1">
      <alignment horizontal="left"/>
    </xf>
    <xf numFmtId="0" fontId="2" fillId="0" borderId="0" xfId="0" applyFont="1"/>
    <xf numFmtId="6" fontId="0" fillId="0" borderId="0" xfId="0" applyNumberFormat="1"/>
    <xf numFmtId="164" fontId="0" fillId="0" borderId="0" xfId="0" applyNumberFormat="1"/>
  </cellXfs>
  <cellStyles count="1">
    <cellStyle name="Normal" xfId="0" builtinId="0"/>
  </cellStyles>
  <dxfs count="22">
    <dxf>
      <numFmt numFmtId="10" formatCode="&quot;₹&quot;\ #,##0;[Red]&quot;₹&quot;\ \-#,##0"/>
    </dxf>
    <dxf>
      <numFmt numFmtId="10" formatCode="&quot;₹&quot;\ #,##0;[Red]&quot;₹&quot;\ \-#,##0"/>
    </dxf>
    <dxf>
      <numFmt numFmtId="164" formatCode="&quot;₹&quot;\ #,##0"/>
    </dxf>
    <dxf>
      <numFmt numFmtId="10" formatCode="&quot;₹&quot;\ #,##0;[Red]&quot;₹&quot;\ \-#,##0"/>
    </dxf>
    <dxf>
      <numFmt numFmtId="164" formatCode="&quot;₹&quot;\ #,##0"/>
    </dxf>
    <dxf>
      <numFmt numFmtId="10" formatCode="&quot;₹&quot;\ #,##0;[Red]&quot;₹&quot;\ \-#,##0"/>
    </dxf>
    <dxf>
      <numFmt numFmtId="10" formatCode="&quot;₹&quot;\ #,##0;[Red]&quot;₹&quot;\ \-#,##0"/>
    </dxf>
    <dxf>
      <alignment horizontal="center" vertical="bottom" textRotation="0" wrapText="0" indent="0" justifyLastLine="0" shrinkToFit="0" readingOrder="0"/>
    </dxf>
    <dxf>
      <numFmt numFmtId="12" formatCode="&quot;₹&quot;\ #,##0.00;[Red]&quot;₹&quot;\ \-#,##0.00"/>
      <alignment horizontal="center" vertical="bottom" textRotation="0" wrapText="0" indent="0" justifyLastLine="0" shrinkToFit="0" readingOrder="0"/>
    </dxf>
    <dxf>
      <numFmt numFmtId="12" formatCode="&quot;₹&quot;\ #,##0.00;[Red]&quot;₹&quot;\ \-#,##0.00"/>
      <alignment horizontal="center" vertical="bottom" textRotation="0" wrapText="0" indent="0" justifyLastLine="0" shrinkToFit="0" readingOrder="0"/>
    </dxf>
    <dxf>
      <numFmt numFmtId="12" formatCode="&quot;₹&quot;\ #,##0.00;[Red]&quot;₹&quot;\ \-#,##0.00"/>
      <alignment horizontal="center" vertical="bottom" textRotation="0" wrapText="0" indent="0" justifyLastLine="0" shrinkToFit="0" readingOrder="0"/>
    </dxf>
    <dxf>
      <numFmt numFmtId="12" formatCode="&quot;₹&quot;\ #,##0.00;[Red]&quot;₹&quot;\ \-#,##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1"/>
        <color theme="0"/>
        <name val="Gill Sans MT"/>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[TechVision_Dashboard.xlsx]Pivot_Table!PivotTable4</c:name>
    <c:fmtId val="7"/>
  </c:pivotSource>
  <c:chart>
    <c:autoTitleDeleted val="1"/>
    <c:pivotFmts>
      <c:pivotFmt>
        <c:idx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833333333333333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0185067526415994E-16"/>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1111111111111112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611111111111111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Pivot_Table!$N$3</c:f>
              <c:strCache>
                <c:ptCount val="1"/>
                <c:pt idx="0">
                  <c:v>Total</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4388-4265-99A7-9761B9A2F4E8}"/>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388-4265-99A7-9761B9A2F4E8}"/>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4388-4265-99A7-9761B9A2F4E8}"/>
              </c:ext>
            </c:extLst>
          </c:dPt>
          <c:dPt>
            <c:idx val="3"/>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388-4265-99A7-9761B9A2F4E8}"/>
              </c:ext>
            </c:extLst>
          </c:dPt>
          <c:dLbls>
            <c:dLbl>
              <c:idx val="0"/>
              <c:layout>
                <c:manualLayout>
                  <c:x val="5.8333333333333334E-2"/>
                  <c:y val="4.629629629629629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88-4265-99A7-9761B9A2F4E8}"/>
                </c:ext>
              </c:extLst>
            </c:dLbl>
            <c:dLbl>
              <c:idx val="1"/>
              <c:layout>
                <c:manualLayout>
                  <c:x val="-1.0185067526415994E-16"/>
                  <c:y val="0.1620370370370370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88-4265-99A7-9761B9A2F4E8}"/>
                </c:ext>
              </c:extLst>
            </c:dLbl>
            <c:dLbl>
              <c:idx val="2"/>
              <c:layout>
                <c:manualLayout>
                  <c:x val="1.1111111111111112E-2"/>
                  <c:y val="2.777777777777769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88-4265-99A7-9761B9A2F4E8}"/>
                </c:ext>
              </c:extLst>
            </c:dLbl>
            <c:dLbl>
              <c:idx val="3"/>
              <c:layout>
                <c:manualLayout>
                  <c:x val="-3.6111111111111115E-2"/>
                  <c:y val="-2.777777777777777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88-4265-99A7-9761B9A2F4E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Pivot_Table!$M$4:$M$8</c:f>
              <c:strCache>
                <c:ptCount val="4"/>
                <c:pt idx="0">
                  <c:v>Accessories</c:v>
                </c:pt>
                <c:pt idx="1">
                  <c:v>Laptop</c:v>
                </c:pt>
                <c:pt idx="2">
                  <c:v>Phone</c:v>
                </c:pt>
                <c:pt idx="3">
                  <c:v>TV</c:v>
                </c:pt>
              </c:strCache>
            </c:strRef>
          </c:cat>
          <c:val>
            <c:numRef>
              <c:f>Pivot_Table!$N$4:$N$8</c:f>
              <c:numCache>
                <c:formatCode>"₹"#,##0_);[Red]\("₹"#,##0\)</c:formatCode>
                <c:ptCount val="4"/>
                <c:pt idx="0">
                  <c:v>314614.62999999995</c:v>
                </c:pt>
                <c:pt idx="1">
                  <c:v>4594825.5999999996</c:v>
                </c:pt>
                <c:pt idx="2">
                  <c:v>1855881.0799999998</c:v>
                </c:pt>
                <c:pt idx="3">
                  <c:v>1853356.7100000002</c:v>
                </c:pt>
              </c:numCache>
            </c:numRef>
          </c:val>
          <c:extLst>
            <c:ext xmlns:c16="http://schemas.microsoft.com/office/drawing/2014/chart" uri="{C3380CC4-5D6E-409C-BE32-E72D297353CC}">
              <c16:uniqueId val="{00000000-4388-4265-99A7-9761B9A2F4E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[TechVision_Dashboard.xlsx]Pivot_Table!PivotTable6</c:name>
    <c:fmtId val="2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Pivot_Table!$N$10</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Pivot_Table!$M$11:$M$23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Pivot_Table!$N$11:$N$23</c:f>
              <c:numCache>
                <c:formatCode>"₹"#,##0_);[Red]\("₹"#,##0\)</c:formatCode>
                <c:ptCount val="12"/>
                <c:pt idx="0">
                  <c:v>847200.94999999984</c:v>
                </c:pt>
                <c:pt idx="1">
                  <c:v>649093.62999999989</c:v>
                </c:pt>
                <c:pt idx="2">
                  <c:v>505034.61</c:v>
                </c:pt>
                <c:pt idx="3">
                  <c:v>743542.62999999989</c:v>
                </c:pt>
                <c:pt idx="4">
                  <c:v>782276.91999999993</c:v>
                </c:pt>
                <c:pt idx="5">
                  <c:v>464513.26000000007</c:v>
                </c:pt>
                <c:pt idx="6">
                  <c:v>736556.59</c:v>
                </c:pt>
                <c:pt idx="7">
                  <c:v>1336964.6500000001</c:v>
                </c:pt>
                <c:pt idx="8">
                  <c:v>584560.96</c:v>
                </c:pt>
                <c:pt idx="9">
                  <c:v>753234.65999999992</c:v>
                </c:pt>
                <c:pt idx="10">
                  <c:v>622325.92000000004</c:v>
                </c:pt>
                <c:pt idx="11">
                  <c:v>593373.24000000011</c:v>
                </c:pt>
              </c:numCache>
            </c:numRef>
          </c:val>
          <c:smooth val="0"/>
          <c:extLst>
            <c:ext xmlns:c16="http://schemas.microsoft.com/office/drawing/2014/chart" uri="{C3380CC4-5D6E-409C-BE32-E72D297353CC}">
              <c16:uniqueId val="{00000000-18D5-4B2C-AAA9-3DE6F70844C3}"/>
            </c:ext>
          </c:extLst>
        </c:ser>
        <c:ser>
          <c:idx val="1"/>
          <c:order val="1"/>
          <c:tx>
            <c:strRef>
              <c:f>Pivot_Table!$O$10</c:f>
              <c:strCache>
                <c:ptCount val="1"/>
                <c:pt idx="0">
                  <c:v>Sum of Total_Sale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Pivot_Table!$M$11:$M$23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Pivot_Table!$O$11:$O$23</c:f>
              <c:numCache>
                <c:formatCode>"₹"#,##0_);[Red]\("₹"#,##0\)</c:formatCode>
                <c:ptCount val="12"/>
                <c:pt idx="0">
                  <c:v>2093087.7499999998</c:v>
                </c:pt>
                <c:pt idx="1">
                  <c:v>1660792.95</c:v>
                </c:pt>
                <c:pt idx="2">
                  <c:v>1180533.6499999997</c:v>
                </c:pt>
                <c:pt idx="3">
                  <c:v>1819036.19</c:v>
                </c:pt>
                <c:pt idx="4">
                  <c:v>1955545.5099999998</c:v>
                </c:pt>
                <c:pt idx="5">
                  <c:v>1141534.8700000001</c:v>
                </c:pt>
                <c:pt idx="6">
                  <c:v>1753062.5499999998</c:v>
                </c:pt>
                <c:pt idx="7">
                  <c:v>3341522.33</c:v>
                </c:pt>
                <c:pt idx="8">
                  <c:v>1454357.6700000002</c:v>
                </c:pt>
                <c:pt idx="9">
                  <c:v>1946872.08</c:v>
                </c:pt>
                <c:pt idx="10">
                  <c:v>1579034.5199999998</c:v>
                </c:pt>
                <c:pt idx="11">
                  <c:v>1484182.65</c:v>
                </c:pt>
              </c:numCache>
            </c:numRef>
          </c:val>
          <c:smooth val="0"/>
          <c:extLst>
            <c:ext xmlns:c16="http://schemas.microsoft.com/office/drawing/2014/chart" uri="{C3380CC4-5D6E-409C-BE32-E72D297353CC}">
              <c16:uniqueId val="{00000001-18D5-4B2C-AAA9-3DE6F70844C3}"/>
            </c:ext>
          </c:extLst>
        </c:ser>
        <c:dLbls>
          <c:showLegendKey val="0"/>
          <c:showVal val="0"/>
          <c:showCatName val="0"/>
          <c:showSerName val="0"/>
          <c:showPercent val="0"/>
          <c:showBubbleSize val="0"/>
        </c:dLbls>
        <c:marker val="1"/>
        <c:smooth val="0"/>
        <c:axId val="825106272"/>
        <c:axId val="170966992"/>
      </c:lineChart>
      <c:catAx>
        <c:axId val="82510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66992"/>
        <c:crosses val="autoZero"/>
        <c:auto val="1"/>
        <c:lblAlgn val="ctr"/>
        <c:lblOffset val="100"/>
        <c:noMultiLvlLbl val="0"/>
      </c:catAx>
      <c:valAx>
        <c:axId val="170966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0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[TechVision_Dashboard.xlsx]Pivot_Table!PivotTable7</c:name>
    <c:fmtId val="4"/>
  </c:pivotSource>
  <c:chart>
    <c:autoTitleDeleted val="1"/>
    <c:pivotFmts>
      <c:pivotFmt>
        <c:idx val="0"/>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2"/>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3"/>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4"/>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5"/>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6"/>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s>
    <c:plotArea>
      <c:layout/>
      <c:doughnutChart>
        <c:varyColors val="1"/>
        <c:ser>
          <c:idx val="0"/>
          <c:order val="0"/>
          <c:tx>
            <c:strRef>
              <c:f>Pivot_Table!$J$6</c:f>
              <c:strCache>
                <c:ptCount val="1"/>
                <c:pt idx="0">
                  <c:v>Total</c:v>
                </c:pt>
              </c:strCache>
            </c:strRef>
          </c:tx>
          <c:dPt>
            <c:idx val="0"/>
            <c:bubble3D val="0"/>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1-075D-4722-BB46-BED34E780E57}"/>
              </c:ext>
            </c:extLst>
          </c:dPt>
          <c:dPt>
            <c:idx val="1"/>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3-075D-4722-BB46-BED34E780E57}"/>
              </c:ext>
            </c:extLst>
          </c:dPt>
          <c:dPt>
            <c:idx val="2"/>
            <c:bubble3D val="0"/>
            <c:spPr>
              <a:gradFill rotWithShape="1">
                <a:gsLst>
                  <a:gs pos="0">
                    <a:schemeClr val="accent3">
                      <a:tint val="97000"/>
                      <a:satMod val="115000"/>
                      <a:lumMod val="114000"/>
                    </a:schemeClr>
                  </a:gs>
                  <a:gs pos="60000">
                    <a:schemeClr val="accent3">
                      <a:tint val="100000"/>
                      <a:shade val="96000"/>
                      <a:satMod val="100000"/>
                      <a:lumMod val="108000"/>
                    </a:schemeClr>
                  </a:gs>
                  <a:gs pos="100000">
                    <a:schemeClr val="accent3">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5-075D-4722-BB46-BED34E780E57}"/>
              </c:ext>
            </c:extLst>
          </c:dPt>
          <c:dPt>
            <c:idx val="3"/>
            <c:bubble3D val="0"/>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7-075D-4722-BB46-BED34E780E57}"/>
              </c:ext>
            </c:extLst>
          </c:dPt>
          <c:dPt>
            <c:idx val="4"/>
            <c:bubble3D val="0"/>
            <c:spPr>
              <a:gradFill rotWithShape="1">
                <a:gsLst>
                  <a:gs pos="0">
                    <a:schemeClr val="accent5">
                      <a:tint val="97000"/>
                      <a:satMod val="115000"/>
                      <a:lumMod val="114000"/>
                    </a:schemeClr>
                  </a:gs>
                  <a:gs pos="60000">
                    <a:schemeClr val="accent5">
                      <a:tint val="100000"/>
                      <a:shade val="96000"/>
                      <a:satMod val="100000"/>
                      <a:lumMod val="108000"/>
                    </a:schemeClr>
                  </a:gs>
                  <a:gs pos="100000">
                    <a:schemeClr val="accent5">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9-075D-4722-BB46-BED34E780E57}"/>
              </c:ext>
            </c:extLst>
          </c:dPt>
          <c:dPt>
            <c:idx val="5"/>
            <c:bubble3D val="0"/>
            <c:spPr>
              <a:gradFill rotWithShape="1">
                <a:gsLst>
                  <a:gs pos="0">
                    <a:schemeClr val="accent6">
                      <a:tint val="97000"/>
                      <a:satMod val="115000"/>
                      <a:lumMod val="114000"/>
                    </a:schemeClr>
                  </a:gs>
                  <a:gs pos="60000">
                    <a:schemeClr val="accent6">
                      <a:tint val="100000"/>
                      <a:shade val="96000"/>
                      <a:satMod val="100000"/>
                      <a:lumMod val="108000"/>
                    </a:schemeClr>
                  </a:gs>
                  <a:gs pos="100000">
                    <a:schemeClr val="accent6">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B-075D-4722-BB46-BED34E780E5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Pivot_Table!$I$7:$I$11</c:f>
              <c:strCache>
                <c:ptCount val="4"/>
                <c:pt idx="0">
                  <c:v>East</c:v>
                </c:pt>
                <c:pt idx="1">
                  <c:v>North</c:v>
                </c:pt>
                <c:pt idx="2">
                  <c:v>South</c:v>
                </c:pt>
                <c:pt idx="3">
                  <c:v>West</c:v>
                </c:pt>
              </c:strCache>
            </c:strRef>
          </c:cat>
          <c:val>
            <c:numRef>
              <c:f>Pivot_Table!$J$7:$J$11</c:f>
              <c:numCache>
                <c:formatCode>"₹"#,##0_);[Red]\("₹"#,##0\)</c:formatCode>
                <c:ptCount val="4"/>
                <c:pt idx="0">
                  <c:v>7458899.8099999996</c:v>
                </c:pt>
                <c:pt idx="1">
                  <c:v>4451992.55</c:v>
                </c:pt>
                <c:pt idx="2">
                  <c:v>4228538.87</c:v>
                </c:pt>
                <c:pt idx="3">
                  <c:v>5270131.4899999984</c:v>
                </c:pt>
              </c:numCache>
            </c:numRef>
          </c:val>
          <c:extLst>
            <c:ext xmlns:c16="http://schemas.microsoft.com/office/drawing/2014/chart" uri="{C3380CC4-5D6E-409C-BE32-E72D297353CC}">
              <c16:uniqueId val="{00000000-7B93-43C9-A726-471213E6B67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[TechVision_Dashboard.xlsx]Pivot_Table!PivotTable8</c:name>
    <c:fmtId val="37"/>
  </c:pivotSource>
  <c:chart>
    <c:autoTitleDeleted val="0"/>
    <c:pivotFmts>
      <c:pivotFmt>
        <c:idx val="0"/>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6.9444444444444337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5.277777777777777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2.222222222222211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4.722222222222222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3.611111111111110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1.1111111111111112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437891780107073"/>
          <c:y val="0.17756500452608168"/>
          <c:w val="0.79562108219892924"/>
          <c:h val="0.74129996651939578"/>
        </c:manualLayout>
      </c:layout>
      <c:bar3DChart>
        <c:barDir val="col"/>
        <c:grouping val="clustered"/>
        <c:varyColors val="0"/>
        <c:ser>
          <c:idx val="0"/>
          <c:order val="0"/>
          <c:tx>
            <c:strRef>
              <c:f>Pivot_Table!$M$26</c:f>
              <c:strCache>
                <c:ptCount val="1"/>
                <c:pt idx="0">
                  <c:v>Sum of Total_Sale</c:v>
                </c:pt>
              </c:strCache>
            </c:strRef>
          </c:tx>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invertIfNegative val="0"/>
          <c:dPt>
            <c:idx val="0"/>
            <c:invertIfNegative val="0"/>
            <c:bubble3D val="0"/>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8-06F3-4592-8074-5E1A1F903FFB}"/>
              </c:ext>
            </c:extLst>
          </c:dPt>
          <c:dPt>
            <c:idx val="2"/>
            <c:invertIfNegative val="0"/>
            <c:bubble3D val="0"/>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5-06F3-4592-8074-5E1A1F903FFB}"/>
              </c:ext>
            </c:extLst>
          </c:dPt>
          <c:dLbls>
            <c:dLbl>
              <c:idx val="0"/>
              <c:layout>
                <c:manualLayout>
                  <c:x val="-1.1111111111111112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6F3-4592-8074-5E1A1F903FFB}"/>
                </c:ext>
              </c:extLst>
            </c:dLbl>
            <c:dLbl>
              <c:idx val="2"/>
              <c:layout>
                <c:manualLayout>
                  <c:x val="2.2222222222222119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6F3-4592-8074-5E1A1F903F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Pivot_Table!$L$27:$L$31</c:f>
              <c:strCache>
                <c:ptCount val="4"/>
                <c:pt idx="0">
                  <c:v>Accessories</c:v>
                </c:pt>
                <c:pt idx="1">
                  <c:v>Laptop</c:v>
                </c:pt>
                <c:pt idx="2">
                  <c:v>Phone</c:v>
                </c:pt>
                <c:pt idx="3">
                  <c:v>TV</c:v>
                </c:pt>
              </c:strCache>
            </c:strRef>
          </c:cat>
          <c:val>
            <c:numRef>
              <c:f>Pivot_Table!$M$27:$M$31</c:f>
              <c:numCache>
                <c:formatCode>"₹"#,##0_);[Red]\("₹"#,##0\)</c:formatCode>
                <c:ptCount val="4"/>
                <c:pt idx="0">
                  <c:v>785829.87999999977</c:v>
                </c:pt>
                <c:pt idx="1">
                  <c:v>11380423.540000001</c:v>
                </c:pt>
                <c:pt idx="2">
                  <c:v>4667481.8000000007</c:v>
                </c:pt>
                <c:pt idx="3">
                  <c:v>4575827.5</c:v>
                </c:pt>
              </c:numCache>
            </c:numRef>
          </c:val>
          <c:extLst>
            <c:ext xmlns:c16="http://schemas.microsoft.com/office/drawing/2014/chart" uri="{C3380CC4-5D6E-409C-BE32-E72D297353CC}">
              <c16:uniqueId val="{00000000-06F3-4592-8074-5E1A1F903FFB}"/>
            </c:ext>
          </c:extLst>
        </c:ser>
        <c:ser>
          <c:idx val="1"/>
          <c:order val="1"/>
          <c:tx>
            <c:strRef>
              <c:f>Pivot_Table!$N$26</c:f>
              <c:strCache>
                <c:ptCount val="1"/>
                <c:pt idx="0">
                  <c:v>Sum of Profit</c:v>
                </c:pt>
              </c:strCache>
            </c:strRef>
          </c:tx>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invertIfNegative val="0"/>
          <c:dPt>
            <c:idx val="0"/>
            <c:invertIfNegative val="0"/>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7-06F3-4592-8074-5E1A1F903FFB}"/>
              </c:ext>
            </c:extLst>
          </c:dPt>
          <c:dPt>
            <c:idx val="1"/>
            <c:invertIfNegative val="0"/>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6-06F3-4592-8074-5E1A1F903FFB}"/>
              </c:ext>
            </c:extLst>
          </c:dPt>
          <c:dPt>
            <c:idx val="2"/>
            <c:invertIfNegative val="0"/>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4-06F3-4592-8074-5E1A1F903FFB}"/>
              </c:ext>
            </c:extLst>
          </c:dPt>
          <c:dPt>
            <c:idx val="3"/>
            <c:invertIfNegative val="0"/>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3-06F3-4592-8074-5E1A1F903FFB}"/>
              </c:ext>
            </c:extLst>
          </c:dPt>
          <c:dLbls>
            <c:dLbl>
              <c:idx val="0"/>
              <c:layout>
                <c:manualLayout>
                  <c:x val="4.722222222222222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6F3-4592-8074-5E1A1F903FFB}"/>
                </c:ext>
              </c:extLst>
            </c:dLbl>
            <c:dLbl>
              <c:idx val="1"/>
              <c:layout>
                <c:manualLayout>
                  <c:x val="3.611111111111110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6F3-4592-8074-5E1A1F903FFB}"/>
                </c:ext>
              </c:extLst>
            </c:dLbl>
            <c:dLbl>
              <c:idx val="2"/>
              <c:layout>
                <c:manualLayout>
                  <c:x val="5.277777777777777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6F3-4592-8074-5E1A1F903FFB}"/>
                </c:ext>
              </c:extLst>
            </c:dLbl>
            <c:dLbl>
              <c:idx val="3"/>
              <c:layout>
                <c:manualLayout>
                  <c:x val="6.9444444444444337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F3-4592-8074-5E1A1F903F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Pivot_Table!$L$27:$L$31</c:f>
              <c:strCache>
                <c:ptCount val="4"/>
                <c:pt idx="0">
                  <c:v>Accessories</c:v>
                </c:pt>
                <c:pt idx="1">
                  <c:v>Laptop</c:v>
                </c:pt>
                <c:pt idx="2">
                  <c:v>Phone</c:v>
                </c:pt>
                <c:pt idx="3">
                  <c:v>TV</c:v>
                </c:pt>
              </c:strCache>
            </c:strRef>
          </c:cat>
          <c:val>
            <c:numRef>
              <c:f>Pivot_Table!$N$27:$N$31</c:f>
              <c:numCache>
                <c:formatCode>"₹"#,##0_);[Red]\("₹"#,##0\)</c:formatCode>
                <c:ptCount val="4"/>
                <c:pt idx="0">
                  <c:v>314614.62999999995</c:v>
                </c:pt>
                <c:pt idx="1">
                  <c:v>4594825.5999999996</c:v>
                </c:pt>
                <c:pt idx="2">
                  <c:v>1855881.0799999998</c:v>
                </c:pt>
                <c:pt idx="3">
                  <c:v>1853356.7100000002</c:v>
                </c:pt>
              </c:numCache>
            </c:numRef>
          </c:val>
          <c:extLst>
            <c:ext xmlns:c16="http://schemas.microsoft.com/office/drawing/2014/chart" uri="{C3380CC4-5D6E-409C-BE32-E72D297353CC}">
              <c16:uniqueId val="{00000001-06F3-4592-8074-5E1A1F903FFB}"/>
            </c:ext>
          </c:extLst>
        </c:ser>
        <c:dLbls>
          <c:showLegendKey val="0"/>
          <c:showVal val="1"/>
          <c:showCatName val="0"/>
          <c:showSerName val="0"/>
          <c:showPercent val="0"/>
          <c:showBubbleSize val="0"/>
        </c:dLbls>
        <c:gapWidth val="150"/>
        <c:shape val="box"/>
        <c:axId val="1869057807"/>
        <c:axId val="1869058287"/>
        <c:axId val="0"/>
      </c:bar3DChart>
      <c:catAx>
        <c:axId val="1869057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058287"/>
        <c:crosses val="autoZero"/>
        <c:auto val="1"/>
        <c:lblAlgn val="ctr"/>
        <c:lblOffset val="100"/>
        <c:noMultiLvlLbl val="0"/>
      </c:catAx>
      <c:valAx>
        <c:axId val="1869058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0578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[TechVision_Dashboard.xlsx]Pivot_Table!PivotTable5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Pivot_Table!$F$38</c:f>
              <c:strCache>
                <c:ptCount val="1"/>
                <c:pt idx="0">
                  <c:v>Total</c:v>
                </c:pt>
              </c:strCache>
            </c:strRef>
          </c:tx>
          <c:spPr>
            <a:solidFill>
              <a:schemeClr val="accent1"/>
            </a:solidFill>
            <a:ln>
              <a:noFill/>
            </a:ln>
            <a:effectLst/>
            <a:sp3d/>
          </c:spPr>
          <c:invertIfNegative val="0"/>
          <c:cat>
            <c:strRef>
              <c:f>Pivot_Table!$E$39:$E$43</c:f>
              <c:strCache>
                <c:ptCount val="4"/>
                <c:pt idx="0">
                  <c:v>Q1</c:v>
                </c:pt>
                <c:pt idx="1">
                  <c:v>Q2</c:v>
                </c:pt>
                <c:pt idx="2">
                  <c:v>Q3</c:v>
                </c:pt>
                <c:pt idx="3">
                  <c:v>Q4</c:v>
                </c:pt>
              </c:strCache>
            </c:strRef>
          </c:cat>
          <c:val>
            <c:numRef>
              <c:f>Pivot_Table!$F$39:$F$43</c:f>
              <c:numCache>
                <c:formatCode>"₹"\ #,##0</c:formatCode>
                <c:ptCount val="4"/>
                <c:pt idx="0">
                  <c:v>4934414.3499999987</c:v>
                </c:pt>
                <c:pt idx="1">
                  <c:v>4916116.5699999994</c:v>
                </c:pt>
                <c:pt idx="2">
                  <c:v>6548942.5499999998</c:v>
                </c:pt>
                <c:pt idx="3">
                  <c:v>5010089.25</c:v>
                </c:pt>
              </c:numCache>
            </c:numRef>
          </c:val>
          <c:extLst>
            <c:ext xmlns:c16="http://schemas.microsoft.com/office/drawing/2014/chart" uri="{C3380CC4-5D6E-409C-BE32-E72D297353CC}">
              <c16:uniqueId val="{00000000-D97D-4130-A329-935C0B6540E4}"/>
            </c:ext>
          </c:extLst>
        </c:ser>
        <c:dLbls>
          <c:showLegendKey val="0"/>
          <c:showVal val="0"/>
          <c:showCatName val="0"/>
          <c:showSerName val="0"/>
          <c:showPercent val="0"/>
          <c:showBubbleSize val="0"/>
        </c:dLbls>
        <c:gapWidth val="150"/>
        <c:shape val="box"/>
        <c:axId val="2017395536"/>
        <c:axId val="2017409456"/>
        <c:axId val="0"/>
      </c:bar3DChart>
      <c:catAx>
        <c:axId val="2017395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09456"/>
        <c:crosses val="autoZero"/>
        <c:auto val="1"/>
        <c:lblAlgn val="ctr"/>
        <c:lblOffset val="100"/>
        <c:noMultiLvlLbl val="0"/>
      </c:catAx>
      <c:valAx>
        <c:axId val="2017409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39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[TechVision_Dashboard.xlsx]Pivot_Table!PivotTable4</c:name>
    <c:fmtId val="20"/>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833333333333333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0185067526415994E-16"/>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1111111111111112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611111111111111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833333333333333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0185067526415994E-16"/>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1111111111111112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611111111111111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833333333333333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648924704946577E-2"/>
              <c:y val="3.79252609084563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7.1238778862010604E-2"/>
              <c:y val="-2.77777666803431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0027290107894005E-2"/>
          <c:y val="0.13860598198779825"/>
          <c:w val="0.85241806793622732"/>
          <c:h val="0.79382049562119639"/>
        </c:manualLayout>
      </c:layout>
      <c:pie3DChart>
        <c:varyColors val="1"/>
        <c:ser>
          <c:idx val="0"/>
          <c:order val="0"/>
          <c:tx>
            <c:strRef>
              <c:f>Pivot_Table!$N$3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EB2-44C2-8468-B6DD858581F4}"/>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EB2-44C2-8468-B6DD858581F4}"/>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EB2-44C2-8468-B6DD858581F4}"/>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EB2-44C2-8468-B6DD858581F4}"/>
              </c:ext>
            </c:extLst>
          </c:dPt>
          <c:dLbls>
            <c:dLbl>
              <c:idx val="0"/>
              <c:layout>
                <c:manualLayout>
                  <c:x val="5.8333333333333334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EB2-44C2-8468-B6DD858581F4}"/>
                </c:ext>
              </c:extLst>
            </c:dLbl>
            <c:dLbl>
              <c:idx val="2"/>
              <c:layout>
                <c:manualLayout>
                  <c:x val="-1.648924704946577E-2"/>
                  <c:y val="3.79252609084563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EB2-44C2-8468-B6DD858581F4}"/>
                </c:ext>
              </c:extLst>
            </c:dLbl>
            <c:dLbl>
              <c:idx val="3"/>
              <c:layout>
                <c:manualLayout>
                  <c:x val="-7.1238778862010604E-2"/>
                  <c:y val="-2.777776668034314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EB2-44C2-8468-B6DD858581F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28575" cap="flat" cmpd="sng" algn="ctr">
                  <a:solidFill>
                    <a:schemeClr val="accent1"/>
                  </a:solidFill>
                  <a:prstDash val="solid"/>
                  <a:round/>
                </a:ln>
                <a:effectLst>
                  <a:outerShdw blurRad="50800" dist="31750" dir="5400000" sy="98000" rotWithShape="0">
                    <a:srgbClr val="000000">
                      <a:alpha val="47000"/>
                    </a:srgbClr>
                  </a:outerShdw>
                </a:effectLst>
              </c:spPr>
            </c:leaderLines>
            <c:extLst>
              <c:ext xmlns:c15="http://schemas.microsoft.com/office/drawing/2012/chart" uri="{CE6537A1-D6FC-4f65-9D91-7224C49458BB}"/>
            </c:extLst>
          </c:dLbls>
          <c:cat>
            <c:strRef>
              <c:f>Pivot_Table!$M$4:$M$8</c:f>
              <c:strCache>
                <c:ptCount val="4"/>
                <c:pt idx="0">
                  <c:v>Accessories</c:v>
                </c:pt>
                <c:pt idx="1">
                  <c:v>Laptop</c:v>
                </c:pt>
                <c:pt idx="2">
                  <c:v>Phone</c:v>
                </c:pt>
                <c:pt idx="3">
                  <c:v>TV</c:v>
                </c:pt>
              </c:strCache>
            </c:strRef>
          </c:cat>
          <c:val>
            <c:numRef>
              <c:f>Pivot_Table!$N$4:$N$8</c:f>
              <c:numCache>
                <c:formatCode>"₹"#,##0_);[Red]\("₹"#,##0\)</c:formatCode>
                <c:ptCount val="4"/>
                <c:pt idx="0">
                  <c:v>314614.62999999995</c:v>
                </c:pt>
                <c:pt idx="1">
                  <c:v>4594825.5999999996</c:v>
                </c:pt>
                <c:pt idx="2">
                  <c:v>1855881.0799999998</c:v>
                </c:pt>
                <c:pt idx="3">
                  <c:v>1853356.7100000002</c:v>
                </c:pt>
              </c:numCache>
            </c:numRef>
          </c:val>
          <c:extLst>
            <c:ext xmlns:c16="http://schemas.microsoft.com/office/drawing/2014/chart" uri="{C3380CC4-5D6E-409C-BE32-E72D297353CC}">
              <c16:uniqueId val="{00000008-5EB2-44C2-8468-B6DD858581F4}"/>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[TechVision_Dashboard.xlsx]Pivot_Table!PivotTable6</c:name>
    <c:fmtId val="2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c:spPr>
        <c:marker>
          <c:symbol val="circle"/>
          <c:size val="6"/>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w="9525">
              <a:solidFill>
                <a:schemeClr val="accent2"/>
              </a:solidFill>
              <a:round/>
            </a:ln>
            <a:effectLst/>
            <a:scene3d>
              <a:camera prst="orthographicFront">
                <a:rot lat="0" lon="0" rev="0"/>
              </a:camera>
              <a:lightRig rig="threePt" dir="t">
                <a:rot lat="0" lon="0" rev="4800000"/>
              </a:lightRig>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c:spPr>
        <c:marker>
          <c:symbol val="circle"/>
          <c:size val="6"/>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w="9525">
              <a:solidFill>
                <a:schemeClr val="accent4"/>
              </a:solidFill>
              <a:round/>
            </a:ln>
            <a:effectLst/>
            <a:scene3d>
              <a:camera prst="orthographicFront">
                <a:rot lat="0" lon="0" rev="0"/>
              </a:camera>
              <a:lightRig rig="threePt" dir="t">
                <a:rot lat="0" lon="0" rev="4800000"/>
              </a:lightRig>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4"/>
            </a:solidFill>
            <a:round/>
          </a:ln>
          <a:effectLst/>
        </c:spPr>
        <c:marker>
          <c:symbol val="circle"/>
          <c:size val="6"/>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w="9525">
              <a:solidFill>
                <a:schemeClr val="accent4"/>
              </a:solidFill>
              <a:round/>
            </a:ln>
            <a:effectLst/>
            <a:scene3d>
              <a:camera prst="orthographicFront">
                <a:rot lat="0" lon="0" rev="0"/>
              </a:camera>
              <a:lightRig rig="threePt" dir="t">
                <a:rot lat="0" lon="0" rev="4800000"/>
              </a:lightRig>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Pivot_Table!$N$10</c:f>
              <c:strCache>
                <c:ptCount val="1"/>
                <c:pt idx="0">
                  <c:v>Sum of Profit</c:v>
                </c:pt>
              </c:strCache>
            </c:strRef>
          </c:tx>
          <c:spPr>
            <a:ln w="34925" cap="rnd">
              <a:solidFill>
                <a:schemeClr val="accent2"/>
              </a:solidFill>
              <a:round/>
            </a:ln>
            <a:effectLst/>
          </c:spPr>
          <c:marker>
            <c:symbol val="circle"/>
            <c:size val="6"/>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w="9525">
                <a:solidFill>
                  <a:schemeClr val="accent2"/>
                </a:solidFill>
                <a:round/>
              </a:ln>
              <a:effectLst/>
              <a:scene3d>
                <a:camera prst="orthographicFront">
                  <a:rot lat="0" lon="0" rev="0"/>
                </a:camera>
                <a:lightRig rig="threePt" dir="t">
                  <a:rot lat="0" lon="0" rev="4800000"/>
                </a:lightRig>
              </a:scene3d>
              <a:sp3d>
                <a:bevelT w="50800" h="25400"/>
              </a:sp3d>
            </c:spPr>
          </c:marker>
          <c:cat>
            <c:strRef>
              <c:f>Pivot_Table!$M$11:$M$23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Pivot_Table!$N$11:$N$23</c:f>
              <c:numCache>
                <c:formatCode>"₹"#,##0_);[Red]\("₹"#,##0\)</c:formatCode>
                <c:ptCount val="12"/>
                <c:pt idx="0">
                  <c:v>847200.94999999984</c:v>
                </c:pt>
                <c:pt idx="1">
                  <c:v>649093.62999999989</c:v>
                </c:pt>
                <c:pt idx="2">
                  <c:v>505034.61</c:v>
                </c:pt>
                <c:pt idx="3">
                  <c:v>743542.62999999989</c:v>
                </c:pt>
                <c:pt idx="4">
                  <c:v>782276.91999999993</c:v>
                </c:pt>
                <c:pt idx="5">
                  <c:v>464513.26000000007</c:v>
                </c:pt>
                <c:pt idx="6">
                  <c:v>736556.59</c:v>
                </c:pt>
                <c:pt idx="7">
                  <c:v>1336964.6500000001</c:v>
                </c:pt>
                <c:pt idx="8">
                  <c:v>584560.96</c:v>
                </c:pt>
                <c:pt idx="9">
                  <c:v>753234.65999999992</c:v>
                </c:pt>
                <c:pt idx="10">
                  <c:v>622325.92000000004</c:v>
                </c:pt>
                <c:pt idx="11">
                  <c:v>593373.24000000011</c:v>
                </c:pt>
              </c:numCache>
            </c:numRef>
          </c:val>
          <c:smooth val="0"/>
          <c:extLst>
            <c:ext xmlns:c16="http://schemas.microsoft.com/office/drawing/2014/chart" uri="{C3380CC4-5D6E-409C-BE32-E72D297353CC}">
              <c16:uniqueId val="{00000000-4F60-43C8-B7ED-6462115A1E89}"/>
            </c:ext>
          </c:extLst>
        </c:ser>
        <c:ser>
          <c:idx val="1"/>
          <c:order val="1"/>
          <c:tx>
            <c:strRef>
              <c:f>Pivot_Table!$O$10</c:f>
              <c:strCache>
                <c:ptCount val="1"/>
                <c:pt idx="0">
                  <c:v>Sum of Total_Sale</c:v>
                </c:pt>
              </c:strCache>
            </c:strRef>
          </c:tx>
          <c:spPr>
            <a:ln w="34925" cap="rnd">
              <a:solidFill>
                <a:schemeClr val="accent4"/>
              </a:solidFill>
              <a:round/>
            </a:ln>
            <a:effectLst/>
          </c:spPr>
          <c:marker>
            <c:symbol val="circle"/>
            <c:size val="6"/>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w="9525">
                <a:solidFill>
                  <a:schemeClr val="accent4"/>
                </a:solidFill>
                <a:round/>
              </a:ln>
              <a:effectLst/>
              <a:scene3d>
                <a:camera prst="orthographicFront">
                  <a:rot lat="0" lon="0" rev="0"/>
                </a:camera>
                <a:lightRig rig="threePt" dir="t">
                  <a:rot lat="0" lon="0" rev="4800000"/>
                </a:lightRig>
              </a:scene3d>
              <a:sp3d>
                <a:bevelT w="50800" h="25400"/>
              </a:sp3d>
            </c:spPr>
          </c:marker>
          <c:dPt>
            <c:idx val="7"/>
            <c:marker>
              <c:symbol val="circle"/>
              <c:size val="6"/>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w="9525">
                  <a:solidFill>
                    <a:schemeClr val="accent4"/>
                  </a:solidFill>
                  <a:round/>
                </a:ln>
                <a:effectLst/>
                <a:scene3d>
                  <a:camera prst="orthographicFront">
                    <a:rot lat="0" lon="0" rev="0"/>
                  </a:camera>
                  <a:lightRig rig="threePt" dir="t">
                    <a:rot lat="0" lon="0" rev="4800000"/>
                  </a:lightRig>
                </a:scene3d>
                <a:sp3d>
                  <a:bevelT w="50800" h="25400"/>
                </a:sp3d>
              </c:spPr>
            </c:marker>
            <c:bubble3D val="0"/>
            <c:spPr>
              <a:ln w="34925" cap="rnd">
                <a:solidFill>
                  <a:schemeClr val="accent4"/>
                </a:solidFill>
                <a:round/>
              </a:ln>
              <a:effectLst/>
            </c:spPr>
            <c:extLst>
              <c:ext xmlns:c16="http://schemas.microsoft.com/office/drawing/2014/chart" uri="{C3380CC4-5D6E-409C-BE32-E72D297353CC}">
                <c16:uniqueId val="{00000000-A6C9-43E6-BDDB-346AD435A14C}"/>
              </c:ext>
            </c:extLst>
          </c:dPt>
          <c:dLbls>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C9-43E6-BDDB-346AD435A1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Pivot_Table!$M$11:$M$23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Pivot_Table!$O$11:$O$23</c:f>
              <c:numCache>
                <c:formatCode>"₹"#,##0_);[Red]\("₹"#,##0\)</c:formatCode>
                <c:ptCount val="12"/>
                <c:pt idx="0">
                  <c:v>2093087.7499999998</c:v>
                </c:pt>
                <c:pt idx="1">
                  <c:v>1660792.95</c:v>
                </c:pt>
                <c:pt idx="2">
                  <c:v>1180533.6499999997</c:v>
                </c:pt>
                <c:pt idx="3">
                  <c:v>1819036.19</c:v>
                </c:pt>
                <c:pt idx="4">
                  <c:v>1955545.5099999998</c:v>
                </c:pt>
                <c:pt idx="5">
                  <c:v>1141534.8700000001</c:v>
                </c:pt>
                <c:pt idx="6">
                  <c:v>1753062.5499999998</c:v>
                </c:pt>
                <c:pt idx="7">
                  <c:v>3341522.33</c:v>
                </c:pt>
                <c:pt idx="8">
                  <c:v>1454357.6700000002</c:v>
                </c:pt>
                <c:pt idx="9">
                  <c:v>1946872.08</c:v>
                </c:pt>
                <c:pt idx="10">
                  <c:v>1579034.5199999998</c:v>
                </c:pt>
                <c:pt idx="11">
                  <c:v>1484182.65</c:v>
                </c:pt>
              </c:numCache>
            </c:numRef>
          </c:val>
          <c:smooth val="0"/>
          <c:extLst>
            <c:ext xmlns:c16="http://schemas.microsoft.com/office/drawing/2014/chart" uri="{C3380CC4-5D6E-409C-BE32-E72D297353CC}">
              <c16:uniqueId val="{00000001-4F60-43C8-B7ED-6462115A1E89}"/>
            </c:ext>
          </c:extLst>
        </c:ser>
        <c:dLbls>
          <c:showLegendKey val="0"/>
          <c:showVal val="0"/>
          <c:showCatName val="0"/>
          <c:showSerName val="0"/>
          <c:showPercent val="0"/>
          <c:showBubbleSize val="0"/>
        </c:dLbls>
        <c:marker val="1"/>
        <c:smooth val="0"/>
        <c:axId val="825106272"/>
        <c:axId val="170966992"/>
      </c:lineChart>
      <c:catAx>
        <c:axId val="8251062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66992"/>
        <c:crosses val="autoZero"/>
        <c:auto val="1"/>
        <c:lblAlgn val="ctr"/>
        <c:lblOffset val="100"/>
        <c:noMultiLvlLbl val="0"/>
      </c:catAx>
      <c:valAx>
        <c:axId val="170966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062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[TechVision_Dashboard.xlsx]Pivot_Table!PivotTable7</c:name>
    <c:fmtId val="11"/>
  </c:pivotSource>
  <c:chart>
    <c:autoTitleDeleted val="1"/>
    <c:pivotFmts>
      <c:pivotFmt>
        <c:idx val="0"/>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3"/>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4"/>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5"/>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6"/>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7"/>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8"/>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0"/>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1"/>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2"/>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3"/>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
        <c:idx val="14"/>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pivotFmt>
    </c:pivotFmts>
    <c:plotArea>
      <c:layout>
        <c:manualLayout>
          <c:layoutTarget val="inner"/>
          <c:xMode val="edge"/>
          <c:yMode val="edge"/>
          <c:x val="0.19635670082288842"/>
          <c:y val="5.7578634508895173E-2"/>
          <c:w val="0.44248790011307099"/>
          <c:h val="0.8869424872973819"/>
        </c:manualLayout>
      </c:layout>
      <c:doughnutChart>
        <c:varyColors val="1"/>
        <c:ser>
          <c:idx val="0"/>
          <c:order val="0"/>
          <c:tx>
            <c:strRef>
              <c:f>Pivot_Table!$J$6</c:f>
              <c:strCache>
                <c:ptCount val="1"/>
                <c:pt idx="0">
                  <c:v>Total</c:v>
                </c:pt>
              </c:strCache>
            </c:strRef>
          </c:tx>
          <c:dPt>
            <c:idx val="0"/>
            <c:bubble3D val="0"/>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1-6F1B-4746-94C9-15E823BB3131}"/>
              </c:ext>
            </c:extLst>
          </c:dPt>
          <c:dPt>
            <c:idx val="1"/>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3-6F1B-4746-94C9-15E823BB3131}"/>
              </c:ext>
            </c:extLst>
          </c:dPt>
          <c:dPt>
            <c:idx val="2"/>
            <c:bubble3D val="0"/>
            <c:spPr>
              <a:gradFill rotWithShape="1">
                <a:gsLst>
                  <a:gs pos="0">
                    <a:schemeClr val="accent3">
                      <a:tint val="97000"/>
                      <a:satMod val="115000"/>
                      <a:lumMod val="114000"/>
                    </a:schemeClr>
                  </a:gs>
                  <a:gs pos="60000">
                    <a:schemeClr val="accent3">
                      <a:tint val="100000"/>
                      <a:shade val="96000"/>
                      <a:satMod val="100000"/>
                      <a:lumMod val="108000"/>
                    </a:schemeClr>
                  </a:gs>
                  <a:gs pos="100000">
                    <a:schemeClr val="accent3">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5-6F1B-4746-94C9-15E823BB3131}"/>
              </c:ext>
            </c:extLst>
          </c:dPt>
          <c:dPt>
            <c:idx val="3"/>
            <c:bubble3D val="0"/>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7-6F1B-4746-94C9-15E823BB3131}"/>
              </c:ext>
            </c:extLst>
          </c:dPt>
          <c:dPt>
            <c:idx val="4"/>
            <c:bubble3D val="0"/>
            <c:spPr>
              <a:gradFill rotWithShape="1">
                <a:gsLst>
                  <a:gs pos="0">
                    <a:schemeClr val="accent5">
                      <a:tint val="97000"/>
                      <a:satMod val="115000"/>
                      <a:lumMod val="114000"/>
                    </a:schemeClr>
                  </a:gs>
                  <a:gs pos="60000">
                    <a:schemeClr val="accent5">
                      <a:tint val="100000"/>
                      <a:shade val="96000"/>
                      <a:satMod val="100000"/>
                      <a:lumMod val="108000"/>
                    </a:schemeClr>
                  </a:gs>
                  <a:gs pos="100000">
                    <a:schemeClr val="accent5">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9-6F1B-4746-94C9-15E823BB3131}"/>
              </c:ext>
            </c:extLst>
          </c:dPt>
          <c:dPt>
            <c:idx val="5"/>
            <c:bubble3D val="0"/>
            <c:spPr>
              <a:gradFill rotWithShape="1">
                <a:gsLst>
                  <a:gs pos="0">
                    <a:schemeClr val="accent6">
                      <a:tint val="97000"/>
                      <a:satMod val="115000"/>
                      <a:lumMod val="114000"/>
                    </a:schemeClr>
                  </a:gs>
                  <a:gs pos="60000">
                    <a:schemeClr val="accent6">
                      <a:tint val="100000"/>
                      <a:shade val="96000"/>
                      <a:satMod val="100000"/>
                      <a:lumMod val="108000"/>
                    </a:schemeClr>
                  </a:gs>
                  <a:gs pos="100000">
                    <a:schemeClr val="accent6">
                      <a:shade val="91000"/>
                      <a:satMod val="100000"/>
                    </a:schemeClr>
                  </a:gs>
                </a:gsLst>
                <a:lin ang="5400000" scaled="0"/>
              </a:gradFill>
              <a:ln>
                <a:noFill/>
              </a:ln>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c:spPr>
            <c:extLst>
              <c:ext xmlns:c16="http://schemas.microsoft.com/office/drawing/2014/chart" uri="{C3380CC4-5D6E-409C-BE32-E72D297353CC}">
                <c16:uniqueId val="{0000000B-6F1B-4746-94C9-15E823BB313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Pivot_Table!$I$7:$I$11</c:f>
              <c:strCache>
                <c:ptCount val="4"/>
                <c:pt idx="0">
                  <c:v>East</c:v>
                </c:pt>
                <c:pt idx="1">
                  <c:v>North</c:v>
                </c:pt>
                <c:pt idx="2">
                  <c:v>South</c:v>
                </c:pt>
                <c:pt idx="3">
                  <c:v>West</c:v>
                </c:pt>
              </c:strCache>
            </c:strRef>
          </c:cat>
          <c:val>
            <c:numRef>
              <c:f>Pivot_Table!$J$7:$J$11</c:f>
              <c:numCache>
                <c:formatCode>"₹"#,##0_);[Red]\("₹"#,##0\)</c:formatCode>
                <c:ptCount val="4"/>
                <c:pt idx="0">
                  <c:v>7458899.8099999996</c:v>
                </c:pt>
                <c:pt idx="1">
                  <c:v>4451992.55</c:v>
                </c:pt>
                <c:pt idx="2">
                  <c:v>4228538.87</c:v>
                </c:pt>
                <c:pt idx="3">
                  <c:v>5270131.4899999984</c:v>
                </c:pt>
              </c:numCache>
            </c:numRef>
          </c:val>
          <c:extLst>
            <c:ext xmlns:c16="http://schemas.microsoft.com/office/drawing/2014/chart" uri="{C3380CC4-5D6E-409C-BE32-E72D297353CC}">
              <c16:uniqueId val="{0000000C-6F1B-4746-94C9-15E823BB3131}"/>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[TechVision_Dashboard.xlsx]Pivot_Table!PivotTable8</c:name>
    <c:fmtId val="42"/>
  </c:pivotSource>
  <c:chart>
    <c:autoTitleDeleted val="0"/>
    <c:pivotFmts>
      <c:pivotFmt>
        <c:idx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marker>
          <c:symbol val="circle"/>
          <c:size val="6"/>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w="9525">
              <a:solidFill>
                <a:schemeClr val="accent2"/>
              </a:solidFill>
              <a:round/>
            </a:ln>
            <a:effectLst/>
            <a:scene3d>
              <a:camera prst="orthographicFront">
                <a:rot lat="0" lon="0" rev="0"/>
              </a:camera>
              <a:lightRig rig="threePt" dir="t">
                <a:rot lat="0" lon="0" rev="4800000"/>
              </a:lightRig>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marker>
          <c:symbol val="circle"/>
          <c:size val="6"/>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w="9525">
              <a:solidFill>
                <a:schemeClr val="accent2"/>
              </a:solidFill>
              <a:round/>
            </a:ln>
            <a:effectLst/>
            <a:scene3d>
              <a:camera prst="orthographicFront">
                <a:rot lat="0" lon="0" rev="0"/>
              </a:camera>
              <a:lightRig rig="threePt" dir="t">
                <a:rot lat="0" lon="0" rev="4800000"/>
              </a:lightRig>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6.9444444444444337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5.277777777777777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2.222222222222211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4.722222222222222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3.611111111111110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1.1111111111111112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1.1111111111111112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2.222222222222211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4.722222222222222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3.611111111111110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5.277777777777777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layout>
            <c:manualLayout>
              <c:x val="6.9444444444444337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pivotFmt>
      <c:pivotFmt>
        <c:idx val="18"/>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pivotFmt>
      <c:pivotFmt>
        <c:idx val="19"/>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pivotFmt>
      <c:pivotFmt>
        <c:idx val="21"/>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pivotFmt>
      <c:pivotFmt>
        <c:idx val="22"/>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pivotFmt>
      <c:pivotFmt>
        <c:idx val="23"/>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pivotFmt>
      <c:pivotFmt>
        <c:idx val="24"/>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Pivot_Table!$M$26</c:f>
              <c:strCache>
                <c:ptCount val="1"/>
                <c:pt idx="0">
                  <c:v>Sum of Total_Sale</c:v>
                </c:pt>
              </c:strCache>
            </c:strRef>
          </c:tx>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invertIfNegative val="0"/>
          <c:dPt>
            <c:idx val="0"/>
            <c:invertIfNegative val="0"/>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0-215B-48C5-92E0-E2E96DC095B9}"/>
              </c:ext>
            </c:extLst>
          </c:dPt>
          <c:dPt>
            <c:idx val="1"/>
            <c:invertIfNegative val="0"/>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9-215B-48C5-92E0-E2E96DC095B9}"/>
              </c:ext>
            </c:extLst>
          </c:dPt>
          <c:dPt>
            <c:idx val="2"/>
            <c:invertIfNegative val="0"/>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1-215B-48C5-92E0-E2E96DC095B9}"/>
              </c:ext>
            </c:extLst>
          </c:dPt>
          <c:dPt>
            <c:idx val="3"/>
            <c:invertIfNegative val="0"/>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8-215B-48C5-92E0-E2E96DC095B9}"/>
              </c:ext>
            </c:extLst>
          </c:dPt>
          <c:dLbls>
            <c:dLbl>
              <c:idx val="1"/>
              <c:delete val="1"/>
              <c:extLst>
                <c:ext xmlns:c15="http://schemas.microsoft.com/office/drawing/2012/chart" uri="{CE6537A1-D6FC-4f65-9D91-7224C49458BB}"/>
                <c:ext xmlns:c16="http://schemas.microsoft.com/office/drawing/2014/chart" uri="{C3380CC4-5D6E-409C-BE32-E72D297353CC}">
                  <c16:uniqueId val="{00000009-215B-48C5-92E0-E2E96DC095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Pivot_Table!$L$27:$L$31</c:f>
              <c:strCache>
                <c:ptCount val="4"/>
                <c:pt idx="0">
                  <c:v>Accessories</c:v>
                </c:pt>
                <c:pt idx="1">
                  <c:v>Laptop</c:v>
                </c:pt>
                <c:pt idx="2">
                  <c:v>Phone</c:v>
                </c:pt>
                <c:pt idx="3">
                  <c:v>TV</c:v>
                </c:pt>
              </c:strCache>
            </c:strRef>
          </c:cat>
          <c:val>
            <c:numRef>
              <c:f>Pivot_Table!$M$27:$M$31</c:f>
              <c:numCache>
                <c:formatCode>"₹"#,##0_);[Red]\("₹"#,##0\)</c:formatCode>
                <c:ptCount val="4"/>
                <c:pt idx="0">
                  <c:v>785829.87999999977</c:v>
                </c:pt>
                <c:pt idx="1">
                  <c:v>11380423.540000001</c:v>
                </c:pt>
                <c:pt idx="2">
                  <c:v>4667481.8000000007</c:v>
                </c:pt>
                <c:pt idx="3">
                  <c:v>4575827.5</c:v>
                </c:pt>
              </c:numCache>
            </c:numRef>
          </c:val>
          <c:extLst>
            <c:ext xmlns:c16="http://schemas.microsoft.com/office/drawing/2014/chart" uri="{C3380CC4-5D6E-409C-BE32-E72D297353CC}">
              <c16:uniqueId val="{00000002-215B-48C5-92E0-E2E96DC095B9}"/>
            </c:ext>
          </c:extLst>
        </c:ser>
        <c:ser>
          <c:idx val="1"/>
          <c:order val="1"/>
          <c:tx>
            <c:strRef>
              <c:f>Pivot_Table!$N$26</c:f>
              <c:strCache>
                <c:ptCount val="1"/>
                <c:pt idx="0">
                  <c:v>Sum of Profit</c:v>
                </c:pt>
              </c:strCache>
            </c:strRef>
          </c:tx>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invertIfNegative val="0"/>
          <c:dPt>
            <c:idx val="0"/>
            <c:invertIfNegative val="0"/>
            <c:bubble3D val="0"/>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3-215B-48C5-92E0-E2E96DC095B9}"/>
              </c:ext>
            </c:extLst>
          </c:dPt>
          <c:dPt>
            <c:idx val="1"/>
            <c:invertIfNegative val="0"/>
            <c:bubble3D val="0"/>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4-215B-48C5-92E0-E2E96DC095B9}"/>
              </c:ext>
            </c:extLst>
          </c:dPt>
          <c:dPt>
            <c:idx val="2"/>
            <c:invertIfNegative val="0"/>
            <c:bubble3D val="0"/>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5-215B-48C5-92E0-E2E96DC095B9}"/>
              </c:ext>
            </c:extLst>
          </c:dPt>
          <c:dPt>
            <c:idx val="3"/>
            <c:invertIfNegative val="0"/>
            <c:bubble3D val="0"/>
            <c:spPr>
              <a:gradFill rotWithShape="1">
                <a:gsLst>
                  <a:gs pos="0">
                    <a:schemeClr val="accent4">
                      <a:tint val="97000"/>
                      <a:satMod val="115000"/>
                      <a:lumMod val="114000"/>
                    </a:schemeClr>
                  </a:gs>
                  <a:gs pos="60000">
                    <a:schemeClr val="accent4">
                      <a:tint val="100000"/>
                      <a:shade val="96000"/>
                      <a:satMod val="100000"/>
                      <a:lumMod val="108000"/>
                    </a:schemeClr>
                  </a:gs>
                  <a:gs pos="100000">
                    <a:schemeClr val="accent4">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6-215B-48C5-92E0-E2E96DC095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Pivot_Table!$L$27:$L$31</c:f>
              <c:strCache>
                <c:ptCount val="4"/>
                <c:pt idx="0">
                  <c:v>Accessories</c:v>
                </c:pt>
                <c:pt idx="1">
                  <c:v>Laptop</c:v>
                </c:pt>
                <c:pt idx="2">
                  <c:v>Phone</c:v>
                </c:pt>
                <c:pt idx="3">
                  <c:v>TV</c:v>
                </c:pt>
              </c:strCache>
            </c:strRef>
          </c:cat>
          <c:val>
            <c:numRef>
              <c:f>Pivot_Table!$N$27:$N$31</c:f>
              <c:numCache>
                <c:formatCode>"₹"#,##0_);[Red]\("₹"#,##0\)</c:formatCode>
                <c:ptCount val="4"/>
                <c:pt idx="0">
                  <c:v>314614.62999999995</c:v>
                </c:pt>
                <c:pt idx="1">
                  <c:v>4594825.5999999996</c:v>
                </c:pt>
                <c:pt idx="2">
                  <c:v>1855881.0799999998</c:v>
                </c:pt>
                <c:pt idx="3">
                  <c:v>1853356.7100000002</c:v>
                </c:pt>
              </c:numCache>
            </c:numRef>
          </c:val>
          <c:extLst>
            <c:ext xmlns:c16="http://schemas.microsoft.com/office/drawing/2014/chart" uri="{C3380CC4-5D6E-409C-BE32-E72D297353CC}">
              <c16:uniqueId val="{00000007-215B-48C5-92E0-E2E96DC095B9}"/>
            </c:ext>
          </c:extLst>
        </c:ser>
        <c:dLbls>
          <c:showLegendKey val="0"/>
          <c:showVal val="1"/>
          <c:showCatName val="0"/>
          <c:showSerName val="0"/>
          <c:showPercent val="0"/>
          <c:showBubbleSize val="0"/>
        </c:dLbls>
        <c:gapWidth val="150"/>
        <c:shape val="box"/>
        <c:axId val="1869057807"/>
        <c:axId val="1869058287"/>
        <c:axId val="0"/>
      </c:bar3DChart>
      <c:catAx>
        <c:axId val="1869057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058287"/>
        <c:crosses val="autoZero"/>
        <c:auto val="1"/>
        <c:lblAlgn val="ctr"/>
        <c:lblOffset val="100"/>
        <c:noMultiLvlLbl val="0"/>
      </c:catAx>
      <c:valAx>
        <c:axId val="1869058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0578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6.xml"/><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638175</xdr:colOff>
      <xdr:row>20</xdr:row>
      <xdr:rowOff>66675</xdr:rowOff>
    </xdr:from>
    <xdr:to>
      <xdr:col>8</xdr:col>
      <xdr:colOff>521029</xdr:colOff>
      <xdr:row>33</xdr:row>
      <xdr:rowOff>28575</xdr:rowOff>
    </xdr:to>
    <mc:AlternateContent xmlns:mc="http://schemas.openxmlformats.org/markup-compatibility/2006" xmlns:a14="http://schemas.microsoft.com/office/drawing/2010/main">
      <mc:Choice Requires="a14">
        <xdr:graphicFrame macro="">
          <xdr:nvGraphicFramePr>
            <xdr:cNvPr id="9" name="Quarter">
              <a:extLst>
                <a:ext uri="{FF2B5EF4-FFF2-40B4-BE49-F238E27FC236}">
                  <a16:creationId xmlns:a16="http://schemas.microsoft.com/office/drawing/2014/main" id="{A5AFFEAE-5D51-DCB2-AC80-0009EB03B7B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6638925" y="4448175"/>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95250</xdr:colOff>
      <xdr:row>19</xdr:row>
      <xdr:rowOff>180975</xdr:rowOff>
    </xdr:from>
    <xdr:to>
      <xdr:col>10</xdr:col>
      <xdr:colOff>576755</xdr:colOff>
      <xdr:row>32</xdr:row>
      <xdr:rowOff>142875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0A6E695-1DED-A9DA-871D-66C9B6DD44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05850" y="434340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171450</xdr:colOff>
      <xdr:row>18</xdr:row>
      <xdr:rowOff>57150</xdr:rowOff>
    </xdr:from>
    <xdr:to>
      <xdr:col>3</xdr:col>
      <xdr:colOff>58135</xdr:colOff>
      <xdr:row>31</xdr:row>
      <xdr:rowOff>19050</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2454EA47-68E1-4C6D-9DDD-AD77FDAAA86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00588" y="3998529"/>
              <a:ext cx="1835478" cy="2808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373226</xdr:colOff>
      <xdr:row>18</xdr:row>
      <xdr:rowOff>150429</xdr:rowOff>
    </xdr:from>
    <xdr:to>
      <xdr:col>5</xdr:col>
      <xdr:colOff>485556</xdr:colOff>
      <xdr:row>31</xdr:row>
      <xdr:rowOff>112438</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1A0CAD46-9F50-03D8-822B-209124ED831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351157" y="4091808"/>
              <a:ext cx="1831209" cy="2808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371474</xdr:colOff>
      <xdr:row>31</xdr:row>
      <xdr:rowOff>95250</xdr:rowOff>
    </xdr:from>
    <xdr:to>
      <xdr:col>7</xdr:col>
      <xdr:colOff>543187</xdr:colOff>
      <xdr:row>35</xdr:row>
      <xdr:rowOff>161925</xdr:rowOff>
    </xdr:to>
    <mc:AlternateContent xmlns:mc="http://schemas.openxmlformats.org/markup-compatibility/2006" xmlns:a14="http://schemas.microsoft.com/office/drawing/2010/main">
      <mc:Choice Requires="a14">
        <xdr:graphicFrame macro="">
          <xdr:nvGraphicFramePr>
            <xdr:cNvPr id="13" name="Months">
              <a:extLst>
                <a:ext uri="{FF2B5EF4-FFF2-40B4-BE49-F238E27FC236}">
                  <a16:creationId xmlns:a16="http://schemas.microsoft.com/office/drawing/2014/main" id="{9C23D78C-B945-2E66-F505-A6F5C3068E75}"/>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371474" y="6886575"/>
              <a:ext cx="6480000"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180975</xdr:rowOff>
    </xdr:from>
    <xdr:to>
      <xdr:col>4</xdr:col>
      <xdr:colOff>533400</xdr:colOff>
      <xdr:row>18</xdr:row>
      <xdr:rowOff>76200</xdr:rowOff>
    </xdr:to>
    <xdr:graphicFrame macro="">
      <xdr:nvGraphicFramePr>
        <xdr:cNvPr id="2" name="Chart 1">
          <a:extLst>
            <a:ext uri="{FF2B5EF4-FFF2-40B4-BE49-F238E27FC236}">
              <a16:creationId xmlns:a16="http://schemas.microsoft.com/office/drawing/2014/main" id="{8D28B3C6-82DA-00DD-510B-EC525453A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919162</xdr:colOff>
      <xdr:row>12</xdr:row>
      <xdr:rowOff>200025</xdr:rowOff>
    </xdr:from>
    <xdr:to>
      <xdr:col>20</xdr:col>
      <xdr:colOff>223837</xdr:colOff>
      <xdr:row>25</xdr:row>
      <xdr:rowOff>95250</xdr:rowOff>
    </xdr:to>
    <xdr:graphicFrame macro="">
      <xdr:nvGraphicFramePr>
        <xdr:cNvPr id="3" name="Chart 2">
          <a:extLst>
            <a:ext uri="{FF2B5EF4-FFF2-40B4-BE49-F238E27FC236}">
              <a16:creationId xmlns:a16="http://schemas.microsoft.com/office/drawing/2014/main" id="{A4A96F5C-37D5-BAFC-7C35-C5F5FA2F2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880734</xdr:colOff>
      <xdr:row>17</xdr:row>
      <xdr:rowOff>119007</xdr:rowOff>
    </xdr:from>
    <xdr:to>
      <xdr:col>10</xdr:col>
      <xdr:colOff>333976</xdr:colOff>
      <xdr:row>30</xdr:row>
      <xdr:rowOff>14341</xdr:rowOff>
    </xdr:to>
    <xdr:graphicFrame macro="">
      <xdr:nvGraphicFramePr>
        <xdr:cNvPr id="4" name="Chart 3">
          <a:extLst>
            <a:ext uri="{FF2B5EF4-FFF2-40B4-BE49-F238E27FC236}">
              <a16:creationId xmlns:a16="http://schemas.microsoft.com/office/drawing/2014/main" id="{09A204C9-A9D8-2F4D-1327-23B60A193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642391</xdr:colOff>
      <xdr:row>20</xdr:row>
      <xdr:rowOff>76201</xdr:rowOff>
    </xdr:from>
    <xdr:to>
      <xdr:col>14</xdr:col>
      <xdr:colOff>197124</xdr:colOff>
      <xdr:row>32</xdr:row>
      <xdr:rowOff>190500</xdr:rowOff>
    </xdr:to>
    <xdr:graphicFrame macro="">
      <xdr:nvGraphicFramePr>
        <xdr:cNvPr id="6" name="Chart 5">
          <a:extLst>
            <a:ext uri="{FF2B5EF4-FFF2-40B4-BE49-F238E27FC236}">
              <a16:creationId xmlns:a16="http://schemas.microsoft.com/office/drawing/2014/main" id="{1C41D6F0-9FB2-7B9C-06B6-8F690DD1A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35035</xdr:colOff>
      <xdr:row>30</xdr:row>
      <xdr:rowOff>89994</xdr:rowOff>
    </xdr:from>
    <xdr:to>
      <xdr:col>7</xdr:col>
      <xdr:colOff>1256863</xdr:colOff>
      <xdr:row>42</xdr:row>
      <xdr:rowOff>205608</xdr:rowOff>
    </xdr:to>
    <xdr:graphicFrame macro="">
      <xdr:nvGraphicFramePr>
        <xdr:cNvPr id="5" name="Chart 4">
          <a:extLst>
            <a:ext uri="{FF2B5EF4-FFF2-40B4-BE49-F238E27FC236}">
              <a16:creationId xmlns:a16="http://schemas.microsoft.com/office/drawing/2014/main" id="{C3F7FA01-F5FA-E073-4A87-AF8A4C9A8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142314</xdr:colOff>
      <xdr:row>1</xdr:row>
      <xdr:rowOff>6339</xdr:rowOff>
    </xdr:from>
    <xdr:to>
      <xdr:col>21</xdr:col>
      <xdr:colOff>93508</xdr:colOff>
      <xdr:row>4</xdr:row>
      <xdr:rowOff>211411</xdr:rowOff>
    </xdr:to>
    <xdr:sp macro="" textlink="">
      <xdr:nvSpPr>
        <xdr:cNvPr id="2" name="Rectangle: Rounded Corners 1">
          <a:extLst>
            <a:ext uri="{FF2B5EF4-FFF2-40B4-BE49-F238E27FC236}">
              <a16:creationId xmlns:a16="http://schemas.microsoft.com/office/drawing/2014/main" id="{6D27AF82-E26C-4E21-A8C2-E03D28F5520B}"/>
            </a:ext>
          </a:extLst>
        </xdr:cNvPr>
        <xdr:cNvSpPr/>
      </xdr:nvSpPr>
      <xdr:spPr>
        <a:xfrm>
          <a:off x="142314" y="225305"/>
          <a:ext cx="14435763" cy="861968"/>
        </a:xfrm>
        <a:prstGeom prst="roundRect">
          <a:avLst/>
        </a:prstGeom>
        <a:solidFill>
          <a:schemeClr val="accent1">
            <a:lumMod val="60000"/>
            <a:lumOff val="40000"/>
          </a:schemeClr>
        </a:solidFill>
        <a:ln w="19050">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215634</xdr:colOff>
      <xdr:row>1</xdr:row>
      <xdr:rowOff>22152</xdr:rowOff>
    </xdr:from>
    <xdr:ext cx="4911253" cy="798220"/>
    <xdr:sp macro="" textlink="">
      <xdr:nvSpPr>
        <xdr:cNvPr id="3" name="Rectangle 2">
          <a:extLst>
            <a:ext uri="{FF2B5EF4-FFF2-40B4-BE49-F238E27FC236}">
              <a16:creationId xmlns:a16="http://schemas.microsoft.com/office/drawing/2014/main" id="{74D7C4FE-F284-4167-B61C-9907B805CDC2}"/>
            </a:ext>
          </a:extLst>
        </xdr:cNvPr>
        <xdr:cNvSpPr/>
      </xdr:nvSpPr>
      <xdr:spPr>
        <a:xfrm>
          <a:off x="215634" y="241118"/>
          <a:ext cx="4911253" cy="798220"/>
        </a:xfrm>
        <a:prstGeom prst="rect">
          <a:avLst/>
        </a:prstGeom>
        <a:noFill/>
      </xdr:spPr>
      <xdr:txBody>
        <a:bodyPr wrap="square" lIns="91440" tIns="45720" rIns="91440" bIns="45720" anchor="ctr">
          <a:noAutofit/>
        </a:bodyPr>
        <a:lstStyle/>
        <a:p>
          <a:pPr algn="ct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Sales</a:t>
          </a:r>
          <a:r>
            <a:rPr lang="en-US" sz="36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Dashboard</a:t>
          </a:r>
        </a:p>
      </xdr:txBody>
    </xdr:sp>
    <xdr:clientData/>
  </xdr:oneCellAnchor>
  <xdr:twoCellAnchor editAs="oneCell">
    <xdr:from>
      <xdr:col>0</xdr:col>
      <xdr:colOff>151838</xdr:colOff>
      <xdr:row>1</xdr:row>
      <xdr:rowOff>111594</xdr:rowOff>
    </xdr:from>
    <xdr:to>
      <xdr:col>1</xdr:col>
      <xdr:colOff>113648</xdr:colOff>
      <xdr:row>4</xdr:row>
      <xdr:rowOff>83020</xdr:rowOff>
    </xdr:to>
    <xdr:pic>
      <xdr:nvPicPr>
        <xdr:cNvPr id="4" name="Graphic 3" descr="Bar graph with upward trend with solid fill">
          <a:extLst>
            <a:ext uri="{FF2B5EF4-FFF2-40B4-BE49-F238E27FC236}">
              <a16:creationId xmlns:a16="http://schemas.microsoft.com/office/drawing/2014/main" id="{3FA70884-2B11-456E-AD73-9AD06721F7B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151838" y="330560"/>
          <a:ext cx="651551" cy="628322"/>
        </a:xfrm>
        <a:prstGeom prst="rect">
          <a:avLst/>
        </a:prstGeom>
      </xdr:spPr>
    </xdr:pic>
    <xdr:clientData/>
  </xdr:twoCellAnchor>
  <xdr:twoCellAnchor>
    <xdr:from>
      <xdr:col>0</xdr:col>
      <xdr:colOff>95075</xdr:colOff>
      <xdr:row>0</xdr:row>
      <xdr:rowOff>122262</xdr:rowOff>
    </xdr:from>
    <xdr:to>
      <xdr:col>21</xdr:col>
      <xdr:colOff>197069</xdr:colOff>
      <xdr:row>31</xdr:row>
      <xdr:rowOff>199468</xdr:rowOff>
    </xdr:to>
    <xdr:sp macro="" textlink="">
      <xdr:nvSpPr>
        <xdr:cNvPr id="5" name="Rectangle: Rounded Corners 4">
          <a:extLst>
            <a:ext uri="{FF2B5EF4-FFF2-40B4-BE49-F238E27FC236}">
              <a16:creationId xmlns:a16="http://schemas.microsoft.com/office/drawing/2014/main" id="{454C1481-130B-44D6-970C-995CBB343A69}"/>
            </a:ext>
          </a:extLst>
        </xdr:cNvPr>
        <xdr:cNvSpPr/>
      </xdr:nvSpPr>
      <xdr:spPr>
        <a:xfrm>
          <a:off x="95075" y="122262"/>
          <a:ext cx="14586563" cy="6865137"/>
        </a:xfrm>
        <a:prstGeom prst="roundRect">
          <a:avLst>
            <a:gd name="adj" fmla="val 3769"/>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159784</xdr:colOff>
      <xdr:row>5</xdr:row>
      <xdr:rowOff>44639</xdr:rowOff>
    </xdr:from>
    <xdr:to>
      <xdr:col>6</xdr:col>
      <xdr:colOff>5068</xdr:colOff>
      <xdr:row>18</xdr:row>
      <xdr:rowOff>40362</xdr:rowOff>
    </xdr:to>
    <xdr:sp macro="" textlink="">
      <xdr:nvSpPr>
        <xdr:cNvPr id="11" name="Rectangle: Rounded Corners 10">
          <a:extLst>
            <a:ext uri="{FF2B5EF4-FFF2-40B4-BE49-F238E27FC236}">
              <a16:creationId xmlns:a16="http://schemas.microsoft.com/office/drawing/2014/main" id="{0F9D2B92-B941-4EEB-BC75-B7818BEA6F6F}"/>
            </a:ext>
          </a:extLst>
        </xdr:cNvPr>
        <xdr:cNvSpPr/>
      </xdr:nvSpPr>
      <xdr:spPr>
        <a:xfrm>
          <a:off x="159784" y="1139467"/>
          <a:ext cx="3983732" cy="2842274"/>
        </a:xfrm>
        <a:prstGeom prst="roundRect">
          <a:avLst>
            <a:gd name="adj" fmla="val 2708"/>
          </a:avLst>
        </a:prstGeom>
        <a:noFill/>
        <a:ln w="19050">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318611</xdr:colOff>
      <xdr:row>19</xdr:row>
      <xdr:rowOff>80939</xdr:rowOff>
    </xdr:from>
    <xdr:to>
      <xdr:col>5</xdr:col>
      <xdr:colOff>572200</xdr:colOff>
      <xdr:row>22</xdr:row>
      <xdr:rowOff>158411</xdr:rowOff>
    </xdr:to>
    <xdr:sp macro="" textlink="">
      <xdr:nvSpPr>
        <xdr:cNvPr id="43" name="Rectangle: Rounded Corners 42">
          <a:extLst>
            <a:ext uri="{FF2B5EF4-FFF2-40B4-BE49-F238E27FC236}">
              <a16:creationId xmlns:a16="http://schemas.microsoft.com/office/drawing/2014/main" id="{4EF70C2D-313A-4587-A30A-E1FCA50B4670}"/>
            </a:ext>
          </a:extLst>
        </xdr:cNvPr>
        <xdr:cNvSpPr/>
      </xdr:nvSpPr>
      <xdr:spPr>
        <a:xfrm>
          <a:off x="318611" y="4241284"/>
          <a:ext cx="3702296" cy="734368"/>
        </a:xfrm>
        <a:prstGeom prst="roundRect">
          <a:avLst/>
        </a:prstGeom>
        <a:solidFill>
          <a:srgbClr val="00B0F0"/>
        </a:solidFill>
        <a:ln>
          <a:solidFill>
            <a:schemeClr val="accent6">
              <a:lumMod val="75000"/>
            </a:schemeClr>
          </a:solidFill>
        </a:ln>
        <a:effectLst/>
        <a:scene3d>
          <a:camera prst="orthographicFront">
            <a:rot lat="0" lon="0" rev="0"/>
          </a:camera>
          <a:lightRig rig="contrasting" dir="t">
            <a:rot lat="0" lon="0" rev="7800000"/>
          </a:lightRig>
        </a:scene3d>
        <a:sp3d>
          <a:bevelT w="139700" h="1397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301295</xdr:colOff>
      <xdr:row>19</xdr:row>
      <xdr:rowOff>32675</xdr:rowOff>
    </xdr:from>
    <xdr:to>
      <xdr:col>5</xdr:col>
      <xdr:colOff>552694</xdr:colOff>
      <xdr:row>21</xdr:row>
      <xdr:rowOff>4414</xdr:rowOff>
    </xdr:to>
    <xdr:sp macro="" textlink="">
      <xdr:nvSpPr>
        <xdr:cNvPr id="45" name="Rectangle 44">
          <a:extLst>
            <a:ext uri="{FF2B5EF4-FFF2-40B4-BE49-F238E27FC236}">
              <a16:creationId xmlns:a16="http://schemas.microsoft.com/office/drawing/2014/main" id="{E581383E-4325-4087-9377-72983095CCCA}"/>
            </a:ext>
          </a:extLst>
        </xdr:cNvPr>
        <xdr:cNvSpPr/>
      </xdr:nvSpPr>
      <xdr:spPr>
        <a:xfrm>
          <a:off x="301295" y="4193020"/>
          <a:ext cx="3700106" cy="409670"/>
        </a:xfrm>
        <a:prstGeom prst="rect">
          <a:avLst/>
        </a:prstGeom>
        <a:noFill/>
        <a:ln>
          <a:noFill/>
        </a:ln>
        <a:effectLst/>
        <a:scene3d>
          <a:camera prst="orthographicFront">
            <a:rot lat="0" lon="0" rev="0"/>
          </a:camera>
          <a:lightRig rig="contrasting" dir="t">
            <a:rot lat="0" lon="0" rev="7800000"/>
          </a:lightRig>
        </a:scene3d>
        <a:sp3d>
          <a:bevelT w="139700" h="139700"/>
        </a:sp3d>
      </xdr:spPr>
      <xdr:txBody>
        <a:bodyPr wrap="square" lIns="91440" tIns="45720" rIns="91440" bIns="45720">
          <a:noAutofit/>
        </a:bodyPr>
        <a:lstStyle/>
        <a:p>
          <a:pPr algn="ctr"/>
          <a:r>
            <a:rPr lang="en-US"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Total Sales</a:t>
          </a:r>
        </a:p>
      </xdr:txBody>
    </xdr:sp>
    <xdr:clientData/>
  </xdr:twoCellAnchor>
  <xdr:twoCellAnchor>
    <xdr:from>
      <xdr:col>0</xdr:col>
      <xdr:colOff>310369</xdr:colOff>
      <xdr:row>27</xdr:row>
      <xdr:rowOff>110159</xdr:rowOff>
    </xdr:from>
    <xdr:to>
      <xdr:col>5</xdr:col>
      <xdr:colOff>557280</xdr:colOff>
      <xdr:row>30</xdr:row>
      <xdr:rowOff>218940</xdr:rowOff>
    </xdr:to>
    <xdr:sp macro="" textlink="">
      <xdr:nvSpPr>
        <xdr:cNvPr id="46" name="Rectangle: Rounded Corners 45">
          <a:extLst>
            <a:ext uri="{FF2B5EF4-FFF2-40B4-BE49-F238E27FC236}">
              <a16:creationId xmlns:a16="http://schemas.microsoft.com/office/drawing/2014/main" id="{0D3FC925-A883-4670-896F-7813F39FFF1A}"/>
            </a:ext>
          </a:extLst>
        </xdr:cNvPr>
        <xdr:cNvSpPr/>
      </xdr:nvSpPr>
      <xdr:spPr>
        <a:xfrm>
          <a:off x="310369" y="6022228"/>
          <a:ext cx="3695618" cy="765678"/>
        </a:xfrm>
        <a:prstGeom prst="roundRect">
          <a:avLst/>
        </a:prstGeom>
        <a:solidFill>
          <a:srgbClr val="00B0F0"/>
        </a:solidFill>
        <a:ln>
          <a:solidFill>
            <a:schemeClr val="accent4"/>
          </a:solidFill>
        </a:ln>
        <a:effectLst/>
        <a:scene3d>
          <a:camera prst="orthographicFront">
            <a:rot lat="0" lon="0" rev="0"/>
          </a:camera>
          <a:lightRig rig="contrasting" dir="t">
            <a:rot lat="0" lon="0" rev="7800000"/>
          </a:lightRig>
        </a:scene3d>
        <a:sp3d>
          <a:bevelT w="139700" h="1397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352707</xdr:colOff>
      <xdr:row>28</xdr:row>
      <xdr:rowOff>199038</xdr:rowOff>
    </xdr:from>
    <xdr:to>
      <xdr:col>5</xdr:col>
      <xdr:colOff>537293</xdr:colOff>
      <xdr:row>31</xdr:row>
      <xdr:rowOff>21897</xdr:rowOff>
    </xdr:to>
    <xdr:sp macro="" textlink="Pivot_Table!F5">
      <xdr:nvSpPr>
        <xdr:cNvPr id="47" name="TextBox 46">
          <a:extLst>
            <a:ext uri="{FF2B5EF4-FFF2-40B4-BE49-F238E27FC236}">
              <a16:creationId xmlns:a16="http://schemas.microsoft.com/office/drawing/2014/main" id="{D8B16C81-D0D5-4978-8049-F9710977D96D}"/>
            </a:ext>
          </a:extLst>
        </xdr:cNvPr>
        <xdr:cNvSpPr txBox="1"/>
      </xdr:nvSpPr>
      <xdr:spPr>
        <a:xfrm>
          <a:off x="352707" y="6330072"/>
          <a:ext cx="3633293" cy="479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D329D4B-C4E8-4D7A-BCEB-0B2FB012A293}"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Gill Sans MT"/>
              <a:ea typeface="+mn-ea"/>
              <a:cs typeface="+mn-cs"/>
            </a:rPr>
            <a:pPr marL="0" indent="0" algn="ctr"/>
            <a:t>₹ 86,18,678</a:t>
          </a:fld>
          <a:endParaRPr lang="en-IN"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Gill Sans MT"/>
            <a:ea typeface="+mn-ea"/>
            <a:cs typeface="+mn-cs"/>
          </a:endParaRPr>
        </a:p>
      </xdr:txBody>
    </xdr:sp>
    <xdr:clientData/>
  </xdr:twoCellAnchor>
  <xdr:oneCellAnchor>
    <xdr:from>
      <xdr:col>0</xdr:col>
      <xdr:colOff>291673</xdr:colOff>
      <xdr:row>27</xdr:row>
      <xdr:rowOff>62534</xdr:rowOff>
    </xdr:from>
    <xdr:ext cx="3682977" cy="461817"/>
    <xdr:sp macro="" textlink="">
      <xdr:nvSpPr>
        <xdr:cNvPr id="48" name="Rectangle 47">
          <a:extLst>
            <a:ext uri="{FF2B5EF4-FFF2-40B4-BE49-F238E27FC236}">
              <a16:creationId xmlns:a16="http://schemas.microsoft.com/office/drawing/2014/main" id="{6DB96B3E-FDB6-4917-A0D4-B3868A9D1F3C}"/>
            </a:ext>
          </a:extLst>
        </xdr:cNvPr>
        <xdr:cNvSpPr/>
      </xdr:nvSpPr>
      <xdr:spPr>
        <a:xfrm>
          <a:off x="291673" y="5974603"/>
          <a:ext cx="3682977" cy="461817"/>
        </a:xfrm>
        <a:prstGeom prst="rect">
          <a:avLst/>
        </a:prstGeom>
        <a:noFill/>
      </xdr:spPr>
      <xdr:txBody>
        <a:bodyPr wrap="square" lIns="91440" tIns="45720" rIns="91440" bIns="45720">
          <a:spAutoFit/>
        </a:bodyPr>
        <a:lstStyle/>
        <a:p>
          <a:pPr algn="ctr"/>
          <a:r>
            <a:rPr lang="en-US"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Total</a:t>
          </a:r>
          <a:r>
            <a:rPr lang="en-US" sz="2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Profit</a:t>
          </a:r>
          <a:endParaRPr lang="en-US"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xdr:from>
      <xdr:col>0</xdr:col>
      <xdr:colOff>353188</xdr:colOff>
      <xdr:row>20</xdr:row>
      <xdr:rowOff>130935</xdr:rowOff>
    </xdr:from>
    <xdr:to>
      <xdr:col>5</xdr:col>
      <xdr:colOff>553740</xdr:colOff>
      <xdr:row>22</xdr:row>
      <xdr:rowOff>183852</xdr:rowOff>
    </xdr:to>
    <xdr:sp macro="" textlink="Pivot_Table!E5">
      <xdr:nvSpPr>
        <xdr:cNvPr id="60" name="TextBox 59">
          <a:extLst>
            <a:ext uri="{FF2B5EF4-FFF2-40B4-BE49-F238E27FC236}">
              <a16:creationId xmlns:a16="http://schemas.microsoft.com/office/drawing/2014/main" id="{69584E91-4950-4504-B3B2-B48B1EE820AE}"/>
            </a:ext>
          </a:extLst>
        </xdr:cNvPr>
        <xdr:cNvSpPr txBox="1"/>
      </xdr:nvSpPr>
      <xdr:spPr>
        <a:xfrm>
          <a:off x="353188" y="4510245"/>
          <a:ext cx="3649259" cy="490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316D860-E242-4669-85C7-485338B6F12A}" type="TxLink">
            <a:rPr lang="en-US"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Gill Sans MT"/>
              <a:ea typeface="+mn-ea"/>
              <a:cs typeface="+mn-cs"/>
            </a:rPr>
            <a:pPr marL="0" indent="0" algn="ctr"/>
            <a:t>₹ 2,14,09,563</a:t>
          </a:fld>
          <a:endParaRPr lang="en-IN"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Gill Sans MT"/>
            <a:ea typeface="+mn-ea"/>
            <a:cs typeface="+mn-cs"/>
          </a:endParaRPr>
        </a:p>
      </xdr:txBody>
    </xdr:sp>
    <xdr:clientData/>
  </xdr:twoCellAnchor>
  <xdr:twoCellAnchor>
    <xdr:from>
      <xdr:col>0</xdr:col>
      <xdr:colOff>159783</xdr:colOff>
      <xdr:row>18</xdr:row>
      <xdr:rowOff>167855</xdr:rowOff>
    </xdr:from>
    <xdr:to>
      <xdr:col>6</xdr:col>
      <xdr:colOff>5374</xdr:colOff>
      <xdr:row>31</xdr:row>
      <xdr:rowOff>121407</xdr:rowOff>
    </xdr:to>
    <xdr:sp macro="" textlink="">
      <xdr:nvSpPr>
        <xdr:cNvPr id="12" name="Rectangle: Rounded Corners 11">
          <a:extLst>
            <a:ext uri="{FF2B5EF4-FFF2-40B4-BE49-F238E27FC236}">
              <a16:creationId xmlns:a16="http://schemas.microsoft.com/office/drawing/2014/main" id="{6372472B-C490-E058-2078-0DD3B4680CFA}"/>
            </a:ext>
          </a:extLst>
        </xdr:cNvPr>
        <xdr:cNvSpPr/>
      </xdr:nvSpPr>
      <xdr:spPr>
        <a:xfrm>
          <a:off x="159783" y="4109234"/>
          <a:ext cx="3984039" cy="2800104"/>
        </a:xfrm>
        <a:prstGeom prst="roundRect">
          <a:avLst>
            <a:gd name="adj" fmla="val 2708"/>
          </a:avLst>
        </a:prstGeom>
        <a:noFill/>
        <a:ln w="19050">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33907</xdr:colOff>
      <xdr:row>1</xdr:row>
      <xdr:rowOff>56010</xdr:rowOff>
    </xdr:from>
    <xdr:to>
      <xdr:col>10</xdr:col>
      <xdr:colOff>557803</xdr:colOff>
      <xdr:row>4</xdr:row>
      <xdr:rowOff>162991</xdr:rowOff>
    </xdr:to>
    <mc:AlternateContent xmlns:mc="http://schemas.openxmlformats.org/markup-compatibility/2006" xmlns:a14="http://schemas.microsoft.com/office/drawing/2010/main">
      <mc:Choice Requires="a14">
        <xdr:graphicFrame macro="">
          <xdr:nvGraphicFramePr>
            <xdr:cNvPr id="55" name="Quarter 2">
              <a:extLst>
                <a:ext uri="{FF2B5EF4-FFF2-40B4-BE49-F238E27FC236}">
                  <a16:creationId xmlns:a16="http://schemas.microsoft.com/office/drawing/2014/main" id="{EEC13B21-0642-4A64-94AE-E8F766A8FB46}"/>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4862097" y="274976"/>
              <a:ext cx="2593120" cy="763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221081</xdr:colOff>
      <xdr:row>5</xdr:row>
      <xdr:rowOff>118812</xdr:rowOff>
    </xdr:from>
    <xdr:to>
      <xdr:col>5</xdr:col>
      <xdr:colOff>635000</xdr:colOff>
      <xdr:row>17</xdr:row>
      <xdr:rowOff>177945</xdr:rowOff>
    </xdr:to>
    <xdr:grpSp>
      <xdr:nvGrpSpPr>
        <xdr:cNvPr id="33" name="Group 32">
          <a:extLst>
            <a:ext uri="{FF2B5EF4-FFF2-40B4-BE49-F238E27FC236}">
              <a16:creationId xmlns:a16="http://schemas.microsoft.com/office/drawing/2014/main" id="{C9162B06-A3E1-5764-0BEE-7A4C39FA0C70}"/>
            </a:ext>
          </a:extLst>
        </xdr:cNvPr>
        <xdr:cNvGrpSpPr/>
      </xdr:nvGrpSpPr>
      <xdr:grpSpPr>
        <a:xfrm>
          <a:off x="221081" y="1213640"/>
          <a:ext cx="3862626" cy="2686719"/>
          <a:chOff x="221081" y="1213640"/>
          <a:chExt cx="3862626" cy="2686719"/>
        </a:xfrm>
      </xdr:grpSpPr>
      <mc:AlternateContent xmlns:mc="http://schemas.openxmlformats.org/markup-compatibility/2006" xmlns:a14="http://schemas.microsoft.com/office/drawing/2010/main">
        <mc:Choice Requires="a14">
          <xdr:graphicFrame macro="">
            <xdr:nvGraphicFramePr>
              <xdr:cNvPr id="56" name="Region 2">
                <a:extLst>
                  <a:ext uri="{FF2B5EF4-FFF2-40B4-BE49-F238E27FC236}">
                    <a16:creationId xmlns:a16="http://schemas.microsoft.com/office/drawing/2014/main" id="{EEEA32B0-E4E7-4F0B-8898-EC71D7A723B9}"/>
                  </a:ext>
                </a:extLst>
              </xdr:cNvPr>
              <xdr:cNvGraphicFramePr/>
            </xdr:nvGraphicFramePr>
            <xdr:xfrm>
              <a:off x="2161902" y="1218874"/>
              <a:ext cx="1921805" cy="1003626"/>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161902" y="1218874"/>
                <a:ext cx="1921805" cy="1003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7" name="City 2">
                <a:extLst>
                  <a:ext uri="{FF2B5EF4-FFF2-40B4-BE49-F238E27FC236}">
                    <a16:creationId xmlns:a16="http://schemas.microsoft.com/office/drawing/2014/main" id="{E7A6AAFC-E7A5-456F-94B9-E47F89BEB4D5}"/>
                  </a:ext>
                </a:extLst>
              </xdr:cNvPr>
              <xdr:cNvGraphicFramePr/>
            </xdr:nvGraphicFramePr>
            <xdr:xfrm>
              <a:off x="221081" y="1213640"/>
              <a:ext cx="1896013" cy="2686719"/>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221081" y="1213640"/>
                <a:ext cx="1896013" cy="2686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8" name="Product 2">
                <a:extLst>
                  <a:ext uri="{FF2B5EF4-FFF2-40B4-BE49-F238E27FC236}">
                    <a16:creationId xmlns:a16="http://schemas.microsoft.com/office/drawing/2014/main" id="{3FB12739-CAF0-4970-9F3A-D22446227035}"/>
                  </a:ext>
                </a:extLst>
              </xdr:cNvPr>
              <xdr:cNvGraphicFramePr/>
            </xdr:nvGraphicFramePr>
            <xdr:xfrm>
              <a:off x="2172370" y="2266292"/>
              <a:ext cx="1911337" cy="162000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2172370" y="2266292"/>
                <a:ext cx="1911337"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10</xdr:col>
      <xdr:colOff>609158</xdr:colOff>
      <xdr:row>1</xdr:row>
      <xdr:rowOff>61246</xdr:rowOff>
    </xdr:from>
    <xdr:to>
      <xdr:col>21</xdr:col>
      <xdr:colOff>21897</xdr:colOff>
      <xdr:row>4</xdr:row>
      <xdr:rowOff>153186</xdr:rowOff>
    </xdr:to>
    <mc:AlternateContent xmlns:mc="http://schemas.openxmlformats.org/markup-compatibility/2006" xmlns:a14="http://schemas.microsoft.com/office/drawing/2010/main">
      <mc:Choice Requires="a14">
        <xdr:graphicFrame macro="">
          <xdr:nvGraphicFramePr>
            <xdr:cNvPr id="59" name="Months 1">
              <a:extLst>
                <a:ext uri="{FF2B5EF4-FFF2-40B4-BE49-F238E27FC236}">
                  <a16:creationId xmlns:a16="http://schemas.microsoft.com/office/drawing/2014/main" id="{4B18A4F4-BC74-4F87-AE92-F9F181CCB8F3}"/>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7506572" y="280212"/>
              <a:ext cx="7035836" cy="748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137146</xdr:colOff>
      <xdr:row>5</xdr:row>
      <xdr:rowOff>82695</xdr:rowOff>
    </xdr:from>
    <xdr:to>
      <xdr:col>21</xdr:col>
      <xdr:colOff>121281</xdr:colOff>
      <xdr:row>18</xdr:row>
      <xdr:rowOff>66454</xdr:rowOff>
    </xdr:to>
    <xdr:sp macro="" textlink="">
      <xdr:nvSpPr>
        <xdr:cNvPr id="62" name="Rectangle: Rounded Corners 61">
          <a:extLst>
            <a:ext uri="{FF2B5EF4-FFF2-40B4-BE49-F238E27FC236}">
              <a16:creationId xmlns:a16="http://schemas.microsoft.com/office/drawing/2014/main" id="{8BA68A57-8C0A-278D-A826-CE70E5F8267C}"/>
            </a:ext>
          </a:extLst>
        </xdr:cNvPr>
        <xdr:cNvSpPr/>
      </xdr:nvSpPr>
      <xdr:spPr>
        <a:xfrm>
          <a:off x="4275594" y="1177523"/>
          <a:ext cx="10330256" cy="2830310"/>
        </a:xfrm>
        <a:prstGeom prst="roundRect">
          <a:avLst>
            <a:gd name="adj" fmla="val 2708"/>
          </a:avLst>
        </a:prstGeom>
        <a:noFill/>
        <a:ln w="19050">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531629</xdr:colOff>
      <xdr:row>18</xdr:row>
      <xdr:rowOff>166133</xdr:rowOff>
    </xdr:from>
    <xdr:to>
      <xdr:col>21</xdr:col>
      <xdr:colOff>141364</xdr:colOff>
      <xdr:row>31</xdr:row>
      <xdr:rowOff>117891</xdr:rowOff>
    </xdr:to>
    <xdr:sp macro="" textlink="">
      <xdr:nvSpPr>
        <xdr:cNvPr id="7" name="Rectangle: Rounded Corners 6">
          <a:extLst>
            <a:ext uri="{FF2B5EF4-FFF2-40B4-BE49-F238E27FC236}">
              <a16:creationId xmlns:a16="http://schemas.microsoft.com/office/drawing/2014/main" id="{FC64EAD5-4CEC-6707-F6A1-C53D5E48D6A3}"/>
            </a:ext>
          </a:extLst>
        </xdr:cNvPr>
        <xdr:cNvSpPr/>
      </xdr:nvSpPr>
      <xdr:spPr>
        <a:xfrm>
          <a:off x="9498267" y="4107512"/>
          <a:ext cx="5127666" cy="2798310"/>
        </a:xfrm>
        <a:prstGeom prst="roundRect">
          <a:avLst>
            <a:gd name="adj" fmla="val 2708"/>
          </a:avLst>
        </a:prstGeom>
        <a:noFill/>
        <a:ln w="19050">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121834</xdr:colOff>
      <xdr:row>18</xdr:row>
      <xdr:rowOff>166133</xdr:rowOff>
    </xdr:from>
    <xdr:to>
      <xdr:col>13</xdr:col>
      <xdr:colOff>418276</xdr:colOff>
      <xdr:row>31</xdr:row>
      <xdr:rowOff>117891</xdr:rowOff>
    </xdr:to>
    <xdr:sp macro="" textlink="">
      <xdr:nvSpPr>
        <xdr:cNvPr id="13" name="Rectangle: Rounded Corners 12">
          <a:extLst>
            <a:ext uri="{FF2B5EF4-FFF2-40B4-BE49-F238E27FC236}">
              <a16:creationId xmlns:a16="http://schemas.microsoft.com/office/drawing/2014/main" id="{01826B2D-2B1D-1B55-CB37-5EE9BAC14BAF}"/>
            </a:ext>
          </a:extLst>
        </xdr:cNvPr>
        <xdr:cNvSpPr/>
      </xdr:nvSpPr>
      <xdr:spPr>
        <a:xfrm>
          <a:off x="4260282" y="4107512"/>
          <a:ext cx="5124632" cy="2798310"/>
        </a:xfrm>
        <a:prstGeom prst="roundRect">
          <a:avLst>
            <a:gd name="adj" fmla="val 2708"/>
          </a:avLst>
        </a:prstGeom>
        <a:noFill/>
        <a:ln w="19050">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155057</xdr:colOff>
      <xdr:row>20</xdr:row>
      <xdr:rowOff>44301</xdr:rowOff>
    </xdr:from>
    <xdr:to>
      <xdr:col>13</xdr:col>
      <xdr:colOff>374508</xdr:colOff>
      <xdr:row>31</xdr:row>
      <xdr:rowOff>110755</xdr:rowOff>
    </xdr:to>
    <xdr:graphicFrame macro="">
      <xdr:nvGraphicFramePr>
        <xdr:cNvPr id="14" name="Chart 13">
          <a:extLst>
            <a:ext uri="{FF2B5EF4-FFF2-40B4-BE49-F238E27FC236}">
              <a16:creationId xmlns:a16="http://schemas.microsoft.com/office/drawing/2014/main" id="{2F675FE2-DCDD-4895-9EBE-0614037EC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265815</xdr:colOff>
      <xdr:row>7</xdr:row>
      <xdr:rowOff>33227</xdr:rowOff>
    </xdr:from>
    <xdr:to>
      <xdr:col>13</xdr:col>
      <xdr:colOff>463269</xdr:colOff>
      <xdr:row>18</xdr:row>
      <xdr:rowOff>51835</xdr:rowOff>
    </xdr:to>
    <xdr:graphicFrame macro="">
      <xdr:nvGraphicFramePr>
        <xdr:cNvPr id="15" name="Chart 14">
          <a:extLst>
            <a:ext uri="{FF2B5EF4-FFF2-40B4-BE49-F238E27FC236}">
              <a16:creationId xmlns:a16="http://schemas.microsoft.com/office/drawing/2014/main" id="{512EBB7F-1AC3-42BE-96AD-BD39DCC48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653460</xdr:colOff>
      <xdr:row>6</xdr:row>
      <xdr:rowOff>199360</xdr:rowOff>
    </xdr:from>
    <xdr:to>
      <xdr:col>21</xdr:col>
      <xdr:colOff>120213</xdr:colOff>
      <xdr:row>18</xdr:row>
      <xdr:rowOff>33227</xdr:rowOff>
    </xdr:to>
    <xdr:graphicFrame macro="">
      <xdr:nvGraphicFramePr>
        <xdr:cNvPr id="6" name="Chart 5">
          <a:extLst>
            <a:ext uri="{FF2B5EF4-FFF2-40B4-BE49-F238E27FC236}">
              <a16:creationId xmlns:a16="http://schemas.microsoft.com/office/drawing/2014/main" id="{F42DFCA6-4FFA-440A-90E5-A3A94E346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531628</xdr:colOff>
      <xdr:row>20</xdr:row>
      <xdr:rowOff>44302</xdr:rowOff>
    </xdr:from>
    <xdr:to>
      <xdr:col>21</xdr:col>
      <xdr:colOff>130364</xdr:colOff>
      <xdr:row>31</xdr:row>
      <xdr:rowOff>107213</xdr:rowOff>
    </xdr:to>
    <xdr:graphicFrame macro="">
      <xdr:nvGraphicFramePr>
        <xdr:cNvPr id="8" name="Chart 7">
          <a:extLst>
            <a:ext uri="{FF2B5EF4-FFF2-40B4-BE49-F238E27FC236}">
              <a16:creationId xmlns:a16="http://schemas.microsoft.com/office/drawing/2014/main" id="{D8560A02-68D6-47E7-8375-5716655CC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310368</xdr:colOff>
      <xdr:row>23</xdr:row>
      <xdr:rowOff>54782</xdr:rowOff>
    </xdr:from>
    <xdr:to>
      <xdr:col>2</xdr:col>
      <xdr:colOff>677531</xdr:colOff>
      <xdr:row>26</xdr:row>
      <xdr:rowOff>163563</xdr:rowOff>
    </xdr:to>
    <xdr:sp macro="" textlink="">
      <xdr:nvSpPr>
        <xdr:cNvPr id="9" name="Rectangle: Rounded Corners 8">
          <a:extLst>
            <a:ext uri="{FF2B5EF4-FFF2-40B4-BE49-F238E27FC236}">
              <a16:creationId xmlns:a16="http://schemas.microsoft.com/office/drawing/2014/main" id="{290E4530-2DFE-FE3D-588A-F47BD2A8834D}"/>
            </a:ext>
          </a:extLst>
        </xdr:cNvPr>
        <xdr:cNvSpPr/>
      </xdr:nvSpPr>
      <xdr:spPr>
        <a:xfrm>
          <a:off x="310368" y="5090989"/>
          <a:ext cx="1746646" cy="765677"/>
        </a:xfrm>
        <a:prstGeom prst="roundRect">
          <a:avLst/>
        </a:prstGeom>
        <a:solidFill>
          <a:srgbClr val="00B0F0"/>
        </a:solidFill>
        <a:ln>
          <a:solidFill>
            <a:schemeClr val="accent4"/>
          </a:solidFill>
        </a:ln>
        <a:effectLst/>
        <a:scene3d>
          <a:camera prst="orthographicFront">
            <a:rot lat="0" lon="0" rev="0"/>
          </a:camera>
          <a:lightRig rig="contrasting" dir="t">
            <a:rot lat="0" lon="0" rev="7800000"/>
          </a:lightRig>
        </a:scene3d>
        <a:sp3d>
          <a:bevelT w="139700" h="1397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155311</xdr:colOff>
      <xdr:row>23</xdr:row>
      <xdr:rowOff>54782</xdr:rowOff>
    </xdr:from>
    <xdr:to>
      <xdr:col>5</xdr:col>
      <xdr:colOff>519440</xdr:colOff>
      <xdr:row>26</xdr:row>
      <xdr:rowOff>163563</xdr:rowOff>
    </xdr:to>
    <xdr:sp macro="" textlink="">
      <xdr:nvSpPr>
        <xdr:cNvPr id="10" name="Rectangle: Rounded Corners 9">
          <a:extLst>
            <a:ext uri="{FF2B5EF4-FFF2-40B4-BE49-F238E27FC236}">
              <a16:creationId xmlns:a16="http://schemas.microsoft.com/office/drawing/2014/main" id="{75785E0C-40C3-8C74-18C0-91D754CFF4EF}"/>
            </a:ext>
          </a:extLst>
        </xdr:cNvPr>
        <xdr:cNvSpPr/>
      </xdr:nvSpPr>
      <xdr:spPr>
        <a:xfrm>
          <a:off x="2224535" y="5090989"/>
          <a:ext cx="1743612" cy="765677"/>
        </a:xfrm>
        <a:prstGeom prst="roundRect">
          <a:avLst/>
        </a:prstGeom>
        <a:solidFill>
          <a:srgbClr val="00B0F0"/>
        </a:solidFill>
        <a:ln>
          <a:solidFill>
            <a:schemeClr val="accent4"/>
          </a:solidFill>
        </a:ln>
        <a:effectLst/>
        <a:scene3d>
          <a:camera prst="orthographicFront">
            <a:rot lat="0" lon="0" rev="0"/>
          </a:camera>
          <a:lightRig rig="contrasting" dir="t">
            <a:rot lat="0" lon="0" rev="7800000"/>
          </a:lightRig>
        </a:scene3d>
        <a:sp3d>
          <a:bevelT w="139700" h="1397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264585</xdr:colOff>
      <xdr:row>24</xdr:row>
      <xdr:rowOff>108784</xdr:rowOff>
    </xdr:from>
    <xdr:to>
      <xdr:col>2</xdr:col>
      <xdr:colOff>688213</xdr:colOff>
      <xdr:row>26</xdr:row>
      <xdr:rowOff>161701</xdr:rowOff>
    </xdr:to>
    <xdr:sp macro="" textlink="Pivot_Table!H5">
      <xdr:nvSpPr>
        <xdr:cNvPr id="16" name="TextBox 15">
          <a:extLst>
            <a:ext uri="{FF2B5EF4-FFF2-40B4-BE49-F238E27FC236}">
              <a16:creationId xmlns:a16="http://schemas.microsoft.com/office/drawing/2014/main" id="{1D9CE601-CB62-36A4-4108-B943DAF244CA}"/>
            </a:ext>
          </a:extLst>
        </xdr:cNvPr>
        <xdr:cNvSpPr txBox="1"/>
      </xdr:nvSpPr>
      <xdr:spPr>
        <a:xfrm>
          <a:off x="264585" y="5363956"/>
          <a:ext cx="1803111" cy="490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46561E-7554-4079-BD61-66FEE53B98A7}" type="TxLink">
            <a:rPr lang="en-US" sz="20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Gill Sans MT"/>
              <a:ea typeface="+mn-ea"/>
              <a:cs typeface="+mn-cs"/>
            </a:rPr>
            <a:pPr marL="0" indent="0" algn="ctr"/>
            <a:t>₹ 43,528.68</a:t>
          </a:fld>
          <a:endParaRPr lang="en-IN" sz="20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Gill Sans MT"/>
            <a:ea typeface="+mn-ea"/>
            <a:cs typeface="+mn-cs"/>
          </a:endParaRPr>
        </a:p>
      </xdr:txBody>
    </xdr:sp>
    <xdr:clientData/>
  </xdr:twoCellAnchor>
  <xdr:twoCellAnchor>
    <xdr:from>
      <xdr:col>3</xdr:col>
      <xdr:colOff>131678</xdr:colOff>
      <xdr:row>24</xdr:row>
      <xdr:rowOff>108785</xdr:rowOff>
    </xdr:from>
    <xdr:to>
      <xdr:col>5</xdr:col>
      <xdr:colOff>552272</xdr:colOff>
      <xdr:row>26</xdr:row>
      <xdr:rowOff>161702</xdr:rowOff>
    </xdr:to>
    <xdr:sp macro="" textlink="Pivot_Table!I5">
      <xdr:nvSpPr>
        <xdr:cNvPr id="17" name="TextBox 16">
          <a:extLst>
            <a:ext uri="{FF2B5EF4-FFF2-40B4-BE49-F238E27FC236}">
              <a16:creationId xmlns:a16="http://schemas.microsoft.com/office/drawing/2014/main" id="{8BBA0286-0BE2-3A7B-CE54-C3512B95F065}"/>
            </a:ext>
          </a:extLst>
        </xdr:cNvPr>
        <xdr:cNvSpPr txBox="1"/>
      </xdr:nvSpPr>
      <xdr:spPr>
        <a:xfrm>
          <a:off x="2200902" y="5363957"/>
          <a:ext cx="1800077" cy="490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06186F6-A5FB-4D6F-9FD4-F82A01025B82}" type="TxLink">
            <a:rPr lang="en-US" sz="20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Gill Sans MT"/>
              <a:ea typeface="+mn-ea"/>
              <a:cs typeface="+mn-cs"/>
            </a:rPr>
            <a:pPr marL="0" indent="0" algn="ctr"/>
            <a:t>₹ 1,08,129.10</a:t>
          </a:fld>
          <a:endParaRPr lang="en-IN" sz="20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Gill Sans MT"/>
            <a:ea typeface="+mn-ea"/>
            <a:cs typeface="+mn-cs"/>
          </a:endParaRPr>
        </a:p>
      </xdr:txBody>
    </xdr:sp>
    <xdr:clientData/>
  </xdr:twoCellAnchor>
  <xdr:twoCellAnchor>
    <xdr:from>
      <xdr:col>0</xdr:col>
      <xdr:colOff>301295</xdr:colOff>
      <xdr:row>23</xdr:row>
      <xdr:rowOff>54572</xdr:rowOff>
    </xdr:from>
    <xdr:to>
      <xdr:col>2</xdr:col>
      <xdr:colOff>656896</xdr:colOff>
      <xdr:row>25</xdr:row>
      <xdr:rowOff>26311</xdr:rowOff>
    </xdr:to>
    <xdr:sp macro="" textlink="">
      <xdr:nvSpPr>
        <xdr:cNvPr id="18" name="Rectangle 17">
          <a:extLst>
            <a:ext uri="{FF2B5EF4-FFF2-40B4-BE49-F238E27FC236}">
              <a16:creationId xmlns:a16="http://schemas.microsoft.com/office/drawing/2014/main" id="{792A5E43-6FD8-203B-08F2-26F63D55DCB4}"/>
            </a:ext>
          </a:extLst>
        </xdr:cNvPr>
        <xdr:cNvSpPr/>
      </xdr:nvSpPr>
      <xdr:spPr>
        <a:xfrm>
          <a:off x="301295" y="5090779"/>
          <a:ext cx="1735084" cy="409670"/>
        </a:xfrm>
        <a:prstGeom prst="rect">
          <a:avLst/>
        </a:prstGeom>
        <a:noFill/>
        <a:ln>
          <a:noFill/>
        </a:ln>
        <a:effectLst/>
        <a:scene3d>
          <a:camera prst="orthographicFront">
            <a:rot lat="0" lon="0" rev="0"/>
          </a:camera>
          <a:lightRig rig="contrasting" dir="t">
            <a:rot lat="0" lon="0" rev="7800000"/>
          </a:lightRig>
        </a:scene3d>
        <a:sp3d>
          <a:bevelT w="139700" h="139700"/>
        </a:sp3d>
      </xdr:spPr>
      <xdr:txBody>
        <a:bodyPr wrap="square" lIns="91440" tIns="45720" rIns="91440" bIns="45720" anchor="ctr">
          <a:noAutofit/>
        </a:bodyPr>
        <a:lstStyle/>
        <a:p>
          <a:pPr algn="ctr"/>
          <a:r>
            <a:rPr lang="en-US" sz="2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Avg</a:t>
          </a:r>
          <a:r>
            <a:rPr lang="en-US" sz="2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Profit</a:t>
          </a:r>
          <a:endParaRPr lang="en-US" sz="2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3</xdr:col>
      <xdr:colOff>158968</xdr:colOff>
      <xdr:row>23</xdr:row>
      <xdr:rowOff>54572</xdr:rowOff>
    </xdr:from>
    <xdr:to>
      <xdr:col>5</xdr:col>
      <xdr:colOff>514569</xdr:colOff>
      <xdr:row>25</xdr:row>
      <xdr:rowOff>26311</xdr:rowOff>
    </xdr:to>
    <xdr:sp macro="" textlink="">
      <xdr:nvSpPr>
        <xdr:cNvPr id="19" name="Rectangle 18">
          <a:extLst>
            <a:ext uri="{FF2B5EF4-FFF2-40B4-BE49-F238E27FC236}">
              <a16:creationId xmlns:a16="http://schemas.microsoft.com/office/drawing/2014/main" id="{7A9DC8F4-FF88-3D0D-FCED-6AA50F40554C}"/>
            </a:ext>
          </a:extLst>
        </xdr:cNvPr>
        <xdr:cNvSpPr/>
      </xdr:nvSpPr>
      <xdr:spPr>
        <a:xfrm>
          <a:off x="2228192" y="5090779"/>
          <a:ext cx="1735084" cy="409670"/>
        </a:xfrm>
        <a:prstGeom prst="rect">
          <a:avLst/>
        </a:prstGeom>
        <a:noFill/>
        <a:ln>
          <a:noFill/>
        </a:ln>
        <a:effectLst/>
        <a:scene3d>
          <a:camera prst="orthographicFront">
            <a:rot lat="0" lon="0" rev="0"/>
          </a:camera>
          <a:lightRig rig="contrasting" dir="t">
            <a:rot lat="0" lon="0" rev="7800000"/>
          </a:lightRig>
        </a:scene3d>
        <a:sp3d>
          <a:bevelT w="139700" h="139700"/>
        </a:sp3d>
      </xdr:spPr>
      <xdr:txBody>
        <a:bodyPr wrap="square" lIns="91440" tIns="45720" rIns="91440" bIns="45720" anchor="ctr">
          <a:noAutofit/>
        </a:bodyPr>
        <a:lstStyle/>
        <a:p>
          <a:pPr algn="ctr"/>
          <a:r>
            <a:rPr lang="en-US" sz="2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Avg</a:t>
          </a:r>
          <a:r>
            <a:rPr lang="en-US" sz="2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Sales</a:t>
          </a:r>
          <a:endParaRPr lang="en-US" sz="2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editAs="oneCell">
    <xdr:from>
      <xdr:col>0</xdr:col>
      <xdr:colOff>416034</xdr:colOff>
      <xdr:row>19</xdr:row>
      <xdr:rowOff>164223</xdr:rowOff>
    </xdr:from>
    <xdr:to>
      <xdr:col>1</xdr:col>
      <xdr:colOff>317500</xdr:colOff>
      <xdr:row>22</xdr:row>
      <xdr:rowOff>98322</xdr:rowOff>
    </xdr:to>
    <xdr:pic>
      <xdr:nvPicPr>
        <xdr:cNvPr id="24" name="Picture 23" descr="Graph ">
          <a:extLst>
            <a:ext uri="{FF2B5EF4-FFF2-40B4-BE49-F238E27FC236}">
              <a16:creationId xmlns:a16="http://schemas.microsoft.com/office/drawing/2014/main" id="{C30ECA42-FEEA-1529-00D2-2BA6C9540E1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16034" y="4324568"/>
          <a:ext cx="591207" cy="590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426983</xdr:colOff>
      <xdr:row>27</xdr:row>
      <xdr:rowOff>208017</xdr:rowOff>
    </xdr:from>
    <xdr:to>
      <xdr:col>1</xdr:col>
      <xdr:colOff>346842</xdr:colOff>
      <xdr:row>30</xdr:row>
      <xdr:rowOff>160501</xdr:rowOff>
    </xdr:to>
    <xdr:pic>
      <xdr:nvPicPr>
        <xdr:cNvPr id="25" name="Picture 24" descr="Net profit ">
          <a:extLst>
            <a:ext uri="{FF2B5EF4-FFF2-40B4-BE49-F238E27FC236}">
              <a16:creationId xmlns:a16="http://schemas.microsoft.com/office/drawing/2014/main" id="{7D004B72-4994-B382-9C31-A84E83F5EE1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26983" y="6120086"/>
          <a:ext cx="609600" cy="609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197460</xdr:colOff>
      <xdr:row>5</xdr:row>
      <xdr:rowOff>138045</xdr:rowOff>
    </xdr:from>
    <xdr:ext cx="3940989" cy="300531"/>
    <xdr:sp macro="" textlink="">
      <xdr:nvSpPr>
        <xdr:cNvPr id="26" name="Rectangle 25">
          <a:extLst>
            <a:ext uri="{FF2B5EF4-FFF2-40B4-BE49-F238E27FC236}">
              <a16:creationId xmlns:a16="http://schemas.microsoft.com/office/drawing/2014/main" id="{71A3A7B7-AA1B-C5BE-D8BC-FD1B5011ADC7}"/>
            </a:ext>
          </a:extLst>
        </xdr:cNvPr>
        <xdr:cNvSpPr/>
      </xdr:nvSpPr>
      <xdr:spPr>
        <a:xfrm>
          <a:off x="4335908" y="1232873"/>
          <a:ext cx="3940989" cy="300531"/>
        </a:xfrm>
        <a:prstGeom prst="rect">
          <a:avLst/>
        </a:prstGeom>
        <a:noFill/>
      </xdr:spPr>
      <xdr:txBody>
        <a:bodyPr wrap="square" lIns="91440" tIns="45720" rIns="91440" bIns="45720">
          <a:spAutoFit/>
        </a:bodyPr>
        <a:lstStyle/>
        <a:p>
          <a:pPr algn="l"/>
          <a:r>
            <a:rPr lang="en-IN" sz="1400" b="1" i="0">
              <a:effectLst/>
              <a:latin typeface="+mn-lt"/>
              <a:ea typeface="+mn-ea"/>
              <a:cs typeface="+mn-cs"/>
            </a:rPr>
            <a:t>Total Sales Revenue And Profit Over Time</a:t>
          </a:r>
          <a:endPar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13</xdr:col>
      <xdr:colOff>591596</xdr:colOff>
      <xdr:row>5</xdr:row>
      <xdr:rowOff>127096</xdr:rowOff>
    </xdr:from>
    <xdr:ext cx="3645385" cy="300531"/>
    <xdr:sp macro="" textlink="">
      <xdr:nvSpPr>
        <xdr:cNvPr id="27" name="Rectangle 26">
          <a:extLst>
            <a:ext uri="{FF2B5EF4-FFF2-40B4-BE49-F238E27FC236}">
              <a16:creationId xmlns:a16="http://schemas.microsoft.com/office/drawing/2014/main" id="{2932C20C-C39F-0CB2-0F26-108EE05740D2}"/>
            </a:ext>
          </a:extLst>
        </xdr:cNvPr>
        <xdr:cNvSpPr/>
      </xdr:nvSpPr>
      <xdr:spPr>
        <a:xfrm>
          <a:off x="9558234" y="1221924"/>
          <a:ext cx="3645385" cy="300531"/>
        </a:xfrm>
        <a:prstGeom prst="rect">
          <a:avLst/>
        </a:prstGeom>
        <a:noFill/>
      </xdr:spPr>
      <xdr:txBody>
        <a:bodyPr wrap="square" lIns="91440" tIns="45720" rIns="91440" bIns="45720">
          <a:spAutoFit/>
        </a:bodyPr>
        <a:lstStyle/>
        <a:p>
          <a:pPr algn="l"/>
          <a:r>
            <a:rPr lang="en-IN" sz="1400" b="1" i="0">
              <a:effectLst/>
              <a:latin typeface="+mn-lt"/>
              <a:ea typeface="+mn-ea"/>
              <a:cs typeface="+mn-cs"/>
            </a:rPr>
            <a:t>Total sales Region</a:t>
          </a:r>
          <a:r>
            <a:rPr lang="en-IN" sz="1400" b="1" i="0" baseline="0">
              <a:effectLst/>
              <a:latin typeface="+mn-lt"/>
              <a:ea typeface="+mn-ea"/>
              <a:cs typeface="+mn-cs"/>
            </a:rPr>
            <a:t> Wise</a:t>
          </a:r>
          <a:endPar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6</xdr:col>
      <xdr:colOff>175563</xdr:colOff>
      <xdr:row>18</xdr:row>
      <xdr:rowOff>203735</xdr:rowOff>
    </xdr:from>
    <xdr:ext cx="3645385" cy="300531"/>
    <xdr:sp macro="" textlink="">
      <xdr:nvSpPr>
        <xdr:cNvPr id="29" name="Rectangle 28">
          <a:extLst>
            <a:ext uri="{FF2B5EF4-FFF2-40B4-BE49-F238E27FC236}">
              <a16:creationId xmlns:a16="http://schemas.microsoft.com/office/drawing/2014/main" id="{62B5F45E-4BEA-E84C-F465-C451DE6E768B}"/>
            </a:ext>
          </a:extLst>
        </xdr:cNvPr>
        <xdr:cNvSpPr/>
      </xdr:nvSpPr>
      <xdr:spPr>
        <a:xfrm>
          <a:off x="4314011" y="4145114"/>
          <a:ext cx="3645385" cy="300531"/>
        </a:xfrm>
        <a:prstGeom prst="rect">
          <a:avLst/>
        </a:prstGeom>
        <a:noFill/>
      </xdr:spPr>
      <xdr:txBody>
        <a:bodyPr wrap="square" lIns="91440" tIns="45720" rIns="91440" bIns="45720">
          <a:spAutoFit/>
        </a:bodyPr>
        <a:lstStyle/>
        <a:p>
          <a:pPr algn="l"/>
          <a:r>
            <a:rPr lang="en-IN" sz="1400" b="1" i="0">
              <a:effectLst/>
              <a:latin typeface="+mn-lt"/>
              <a:ea typeface="+mn-ea"/>
              <a:cs typeface="+mn-cs"/>
            </a:rPr>
            <a:t>Total Sales Product</a:t>
          </a:r>
          <a:r>
            <a:rPr lang="en-IN" sz="1400" b="1" i="0" baseline="0">
              <a:effectLst/>
              <a:latin typeface="+mn-lt"/>
              <a:ea typeface="+mn-ea"/>
              <a:cs typeface="+mn-cs"/>
            </a:rPr>
            <a:t> Wise</a:t>
          </a:r>
          <a:endPar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13</xdr:col>
      <xdr:colOff>591597</xdr:colOff>
      <xdr:row>18</xdr:row>
      <xdr:rowOff>203735</xdr:rowOff>
    </xdr:from>
    <xdr:ext cx="4050472" cy="300531"/>
    <xdr:sp macro="" textlink="">
      <xdr:nvSpPr>
        <xdr:cNvPr id="32" name="Rectangle 31">
          <a:extLst>
            <a:ext uri="{FF2B5EF4-FFF2-40B4-BE49-F238E27FC236}">
              <a16:creationId xmlns:a16="http://schemas.microsoft.com/office/drawing/2014/main" id="{552E4CA8-7280-690C-9CBE-B2C8479AB96B}"/>
            </a:ext>
          </a:extLst>
        </xdr:cNvPr>
        <xdr:cNvSpPr/>
      </xdr:nvSpPr>
      <xdr:spPr>
        <a:xfrm>
          <a:off x="9558235" y="4145114"/>
          <a:ext cx="4050472" cy="300531"/>
        </a:xfrm>
        <a:prstGeom prst="rect">
          <a:avLst/>
        </a:prstGeom>
        <a:noFill/>
      </xdr:spPr>
      <xdr:txBody>
        <a:bodyPr wrap="square" lIns="91440" tIns="45720" rIns="91440" bIns="45720">
          <a:spAutoFit/>
        </a:bodyPr>
        <a:lstStyle/>
        <a:p>
          <a:pPr algn="l"/>
          <a:r>
            <a:rPr lang="en-IN" sz="1400" b="1" i="0">
              <a:effectLst/>
              <a:latin typeface="+mn-lt"/>
              <a:ea typeface="+mn-ea"/>
              <a:cs typeface="+mn-cs"/>
            </a:rPr>
            <a:t>Total Sales And</a:t>
          </a:r>
          <a:r>
            <a:rPr lang="en-IN" sz="1400" b="1" i="0" baseline="0">
              <a:effectLst/>
              <a:latin typeface="+mn-lt"/>
              <a:ea typeface="+mn-ea"/>
              <a:cs typeface="+mn-cs"/>
            </a:rPr>
            <a:t> Total Profit Product Wise</a:t>
          </a:r>
          <a:r>
            <a:rPr lang="en-IN" sz="1400" b="1" i="0">
              <a:effectLst/>
              <a:latin typeface="+mn-lt"/>
              <a:ea typeface="+mn-ea"/>
              <a:cs typeface="+mn-cs"/>
            </a:rPr>
            <a:t> </a:t>
          </a:r>
          <a:endPar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mma" refreshedDate="45988.907993749999" createdVersion="8" refreshedVersion="8" minRefreshableVersion="3" recordCount="198" xr:uid="{C81B5388-4E8E-4F15-AC04-4AF536326173}">
  <cacheSource type="worksheet">
    <worksheetSource name="Table2"/>
  </cacheSource>
  <cacheFields count="13">
    <cacheField name="Transaction_ID" numFmtId="0">
      <sharedItems/>
    </cacheField>
    <cacheField name="Date" numFmtId="14">
      <sharedItems containsSemiMixedTypes="0" containsNonDate="0" containsDate="1" containsString="0" minDate="2024-01-01T00:00:00" maxDate="2024-12-27T00:00:00"/>
    </cacheField>
    <cacheField name="Months" numFmtId="0">
      <sharedItems count="12">
        <s v="Apr"/>
        <s v="May"/>
        <s v="Jul"/>
        <s v="Dec"/>
        <s v="Sep"/>
        <s v="Nov"/>
        <s v="Feb"/>
        <s v="Jun"/>
        <s v="Aug"/>
        <s v="Jan"/>
        <s v="Mar"/>
        <s v="Oct"/>
      </sharedItems>
    </cacheField>
    <cacheField name="Quarter" numFmtId="0">
      <sharedItems count="4">
        <s v="Q2"/>
        <s v="Q3"/>
        <s v="Q4"/>
        <s v="Q1"/>
      </sharedItems>
    </cacheField>
    <cacheField name="Region" numFmtId="0">
      <sharedItems count="7">
        <s v="West"/>
        <s v="East"/>
        <s v="North"/>
        <s v="South"/>
        <s v="Wese" u="1"/>
        <s v="Central" u="1"/>
        <s v="Northeast" u="1"/>
      </sharedItems>
    </cacheField>
    <cacheField name="City" numFmtId="0">
      <sharedItems count="23">
        <s v="Mumbai"/>
        <s v="Guwahati"/>
        <s v="Bhubaneswar"/>
        <s v="Jaipur"/>
        <s v="Nagpur"/>
        <s v="Kochi"/>
        <s v="Chennai"/>
        <s v="Bangalore"/>
        <s v="Raipur"/>
        <s v="Bhopal"/>
        <s v="Lucknow"/>
        <s v="Kolkata"/>
        <s v="Pune"/>
        <s v="Vadodara"/>
        <s v="Indore"/>
        <s v="Delhi"/>
        <s v="Ahmedabad"/>
        <s v="Chandigarh"/>
        <s v="Patna"/>
        <s v="Imphal"/>
        <s v="Hyderabad"/>
        <s v="Shillong"/>
        <s v="Aizawl"/>
      </sharedItems>
    </cacheField>
    <cacheField name="Product" numFmtId="0">
      <sharedItems count="4">
        <s v="Laptop"/>
        <s v="Phone"/>
        <s v="Accessories"/>
        <s v="TV"/>
      </sharedItems>
    </cacheField>
    <cacheField name="Quantity" numFmtId="0">
      <sharedItems containsSemiMixedTypes="0" containsString="0" containsNumber="1" containsInteger="1" minValue="1" maxValue="7"/>
    </cacheField>
    <cacheField name="Unit_Price" numFmtId="8">
      <sharedItems containsSemiMixedTypes="0" containsString="0" containsNumber="1" minValue="2135.52" maxValue="59097.48"/>
    </cacheField>
    <cacheField name="Total_Sale" numFmtId="8">
      <sharedItems containsSemiMixedTypes="0" containsString="0" containsNumber="1" minValue="2283.7600000000002" maxValue="403877.49"/>
    </cacheField>
    <cacheField name="COGS" numFmtId="8">
      <sharedItems containsSemiMixedTypes="0" containsString="0" containsNumber="1" minValue="1346.69" maxValue="242769.79"/>
    </cacheField>
    <cacheField name="Profit" numFmtId="8">
      <sharedItems containsSemiMixedTypes="0" containsString="0" containsNumber="1" minValue="937.08" maxValue="176595.89"/>
    </cacheField>
    <cacheField name="Profit_Margin_%" numFmtId="0">
      <sharedItems containsSemiMixedTypes="0" containsString="0" containsNumber="1" minValue="35.049999999999997" maxValue="44.95"/>
    </cacheField>
  </cacheFields>
  <extLst>
    <ext xmlns:x14="http://schemas.microsoft.com/office/spreadsheetml/2009/9/main" uri="{725AE2AE-9491-48be-B2B4-4EB974FC3084}">
      <x14:pivotCacheDefinition pivotCacheId="1301692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s v="TXN00001"/>
    <d v="2024-04-12T00:00:00"/>
    <x v="0"/>
    <x v="0"/>
    <x v="0"/>
    <x v="0"/>
    <x v="0"/>
    <n v="3"/>
    <n v="56695.37"/>
    <n v="170086.1"/>
    <n v="103698.94"/>
    <n v="66387.149999999994"/>
    <n v="39.03"/>
  </r>
  <r>
    <s v="TXN00002"/>
    <d v="2024-05-01T00:00:00"/>
    <x v="1"/>
    <x v="0"/>
    <x v="1"/>
    <x v="1"/>
    <x v="0"/>
    <n v="3"/>
    <n v="57992.639999999999"/>
    <n v="173977.93"/>
    <n v="106145.93"/>
    <n v="67831.990000000005"/>
    <n v="38.99"/>
  </r>
  <r>
    <s v="TXN00003"/>
    <d v="2024-05-31T00:00:00"/>
    <x v="1"/>
    <x v="0"/>
    <x v="1"/>
    <x v="2"/>
    <x v="1"/>
    <n v="2"/>
    <n v="18609.990000000002"/>
    <n v="37219.99"/>
    <n v="23964.29"/>
    <n v="13255.7"/>
    <n v="35.61"/>
  </r>
  <r>
    <s v="TXN00004"/>
    <d v="2024-07-10T00:00:00"/>
    <x v="2"/>
    <x v="1"/>
    <x v="0"/>
    <x v="0"/>
    <x v="1"/>
    <n v="4"/>
    <n v="18058.27"/>
    <n v="72233.06"/>
    <n v="39779.230000000003"/>
    <n v="32453.84"/>
    <n v="44.93"/>
  </r>
  <r>
    <s v="TXN00005"/>
    <d v="2024-12-10T00:00:00"/>
    <x v="3"/>
    <x v="2"/>
    <x v="2"/>
    <x v="3"/>
    <x v="0"/>
    <n v="7"/>
    <n v="47092.41"/>
    <n v="329646.86"/>
    <n v="190936.23"/>
    <n v="138710.63"/>
    <n v="42.08"/>
  </r>
  <r>
    <s v="TXN00006"/>
    <d v="2024-09-27T00:00:00"/>
    <x v="4"/>
    <x v="1"/>
    <x v="3"/>
    <x v="4"/>
    <x v="0"/>
    <n v="6"/>
    <n v="47995.11"/>
    <n v="287970.64"/>
    <n v="173192.29"/>
    <n v="114778.35"/>
    <n v="39.86"/>
  </r>
  <r>
    <s v="TXN00007"/>
    <d v="2024-11-15T00:00:00"/>
    <x v="5"/>
    <x v="2"/>
    <x v="2"/>
    <x v="3"/>
    <x v="1"/>
    <n v="3"/>
    <n v="18401.54"/>
    <n v="55204.61"/>
    <n v="32849.5"/>
    <n v="22355.11"/>
    <n v="40.5"/>
  </r>
  <r>
    <s v="TXN00008"/>
    <d v="2024-09-30T00:00:00"/>
    <x v="4"/>
    <x v="1"/>
    <x v="0"/>
    <x v="0"/>
    <x v="2"/>
    <n v="6"/>
    <n v="5233.59"/>
    <n v="31401.54"/>
    <n v="18227.38"/>
    <n v="13174.16"/>
    <n v="41.95"/>
  </r>
  <r>
    <s v="TXN00009"/>
    <d v="2024-02-22T00:00:00"/>
    <x v="6"/>
    <x v="3"/>
    <x v="3"/>
    <x v="5"/>
    <x v="2"/>
    <n v="7"/>
    <n v="4733.05"/>
    <n v="33131.379999999997"/>
    <n v="20243.259999999998"/>
    <n v="12888.12"/>
    <n v="38.9"/>
  </r>
  <r>
    <s v="TXN00010"/>
    <d v="2024-09-20T00:00:00"/>
    <x v="4"/>
    <x v="1"/>
    <x v="1"/>
    <x v="2"/>
    <x v="1"/>
    <n v="4"/>
    <n v="15911.18"/>
    <n v="63644.72"/>
    <n v="39812.07"/>
    <n v="23832.65"/>
    <n v="37.450000000000003"/>
  </r>
  <r>
    <s v="TXN00011"/>
    <d v="2024-02-23T00:00:00"/>
    <x v="6"/>
    <x v="3"/>
    <x v="3"/>
    <x v="5"/>
    <x v="3"/>
    <n v="5"/>
    <n v="39543.769999999997"/>
    <n v="197718.85"/>
    <n v="124071.2"/>
    <n v="73647.64"/>
    <n v="37.25"/>
  </r>
  <r>
    <s v="TXN00012"/>
    <d v="2024-06-10T00:00:00"/>
    <x v="7"/>
    <x v="0"/>
    <x v="3"/>
    <x v="6"/>
    <x v="2"/>
    <n v="6"/>
    <n v="4909.09"/>
    <n v="29454.53"/>
    <n v="17161.8"/>
    <n v="12292.73"/>
    <n v="41.73"/>
  </r>
  <r>
    <s v="TXN00013"/>
    <d v="2024-08-02T00:00:00"/>
    <x v="8"/>
    <x v="1"/>
    <x v="0"/>
    <x v="0"/>
    <x v="3"/>
    <n v="5"/>
    <n v="30830.16"/>
    <n v="154150.79999999999"/>
    <n v="88965.81"/>
    <n v="65184.99"/>
    <n v="42.29"/>
  </r>
  <r>
    <s v="TXN00014"/>
    <d v="2024-02-22T00:00:00"/>
    <x v="6"/>
    <x v="3"/>
    <x v="3"/>
    <x v="7"/>
    <x v="2"/>
    <n v="4"/>
    <n v="4170.78"/>
    <n v="16683.14"/>
    <n v="9410.83"/>
    <n v="7272.31"/>
    <n v="43.59"/>
  </r>
  <r>
    <s v="TXN00015"/>
    <d v="2024-01-15T00:00:00"/>
    <x v="9"/>
    <x v="3"/>
    <x v="0"/>
    <x v="1"/>
    <x v="1"/>
    <n v="7"/>
    <n v="17117.009999999998"/>
    <n v="119819.05"/>
    <n v="70631.91"/>
    <n v="49187.14"/>
    <n v="41.05"/>
  </r>
  <r>
    <s v="TXN00016"/>
    <d v="2024-05-15T00:00:00"/>
    <x v="1"/>
    <x v="0"/>
    <x v="1"/>
    <x v="1"/>
    <x v="1"/>
    <n v="3"/>
    <n v="18950.88"/>
    <n v="56852.63"/>
    <n v="34713.99"/>
    <n v="22138.639999999999"/>
    <n v="38.94"/>
  </r>
  <r>
    <s v="TXN00017"/>
    <d v="2024-08-18T00:00:00"/>
    <x v="8"/>
    <x v="1"/>
    <x v="3"/>
    <x v="7"/>
    <x v="2"/>
    <n v="7"/>
    <n v="5400.15"/>
    <n v="37801.08"/>
    <n v="22489.57"/>
    <n v="15311.51"/>
    <n v="40.51"/>
  </r>
  <r>
    <s v="TXN00018"/>
    <d v="2024-02-02T00:00:00"/>
    <x v="6"/>
    <x v="3"/>
    <x v="1"/>
    <x v="8"/>
    <x v="1"/>
    <n v="3"/>
    <n v="17956.490000000002"/>
    <n v="53869.47"/>
    <n v="31108.12"/>
    <n v="22761.35"/>
    <n v="42.25"/>
  </r>
  <r>
    <s v="TXN00019"/>
    <d v="2024-02-04T00:00:00"/>
    <x v="6"/>
    <x v="3"/>
    <x v="2"/>
    <x v="3"/>
    <x v="1"/>
    <n v="7"/>
    <n v="18566.22"/>
    <n v="129963.57"/>
    <n v="81367.399999999994"/>
    <n v="48596.17"/>
    <n v="37.39"/>
  </r>
  <r>
    <s v="TXN00020"/>
    <d v="2024-08-05T00:00:00"/>
    <x v="8"/>
    <x v="1"/>
    <x v="1"/>
    <x v="9"/>
    <x v="0"/>
    <n v="1"/>
    <n v="55659.94"/>
    <n v="55659.94"/>
    <n v="31230.19"/>
    <n v="24429.759999999998"/>
    <n v="43.89"/>
  </r>
  <r>
    <s v="TXN00021"/>
    <d v="2024-06-27T00:00:00"/>
    <x v="7"/>
    <x v="0"/>
    <x v="2"/>
    <x v="10"/>
    <x v="1"/>
    <n v="4"/>
    <n v="19537.830000000002"/>
    <n v="78151.33"/>
    <n v="44931.48"/>
    <n v="33219.85"/>
    <n v="42.51"/>
  </r>
  <r>
    <s v="TXN00022"/>
    <d v="2024-08-24T00:00:00"/>
    <x v="8"/>
    <x v="1"/>
    <x v="1"/>
    <x v="11"/>
    <x v="2"/>
    <n v="5"/>
    <n v="2307.92"/>
    <n v="11539.6"/>
    <n v="6681.14"/>
    <n v="4858.46"/>
    <n v="42.1"/>
  </r>
  <r>
    <s v="TXN00023"/>
    <d v="2024-03-26T00:00:00"/>
    <x v="10"/>
    <x v="3"/>
    <x v="0"/>
    <x v="12"/>
    <x v="3"/>
    <n v="5"/>
    <n v="29434.51"/>
    <n v="147172.53"/>
    <n v="82497.48"/>
    <n v="64675.05"/>
    <n v="43.95"/>
  </r>
  <r>
    <s v="TXN00024"/>
    <d v="2024-10-10T00:00:00"/>
    <x v="11"/>
    <x v="2"/>
    <x v="0"/>
    <x v="13"/>
    <x v="2"/>
    <n v="4"/>
    <n v="5570.24"/>
    <n v="22280.94"/>
    <n v="13456.22"/>
    <n v="8824.7199999999993"/>
    <n v="39.61"/>
  </r>
  <r>
    <s v="TXN00025"/>
    <d v="2024-12-13T00:00:00"/>
    <x v="3"/>
    <x v="2"/>
    <x v="2"/>
    <x v="3"/>
    <x v="3"/>
    <n v="1"/>
    <n v="29081.98"/>
    <n v="29081.98"/>
    <n v="17878.7"/>
    <n v="11203.28"/>
    <n v="38.520000000000003"/>
  </r>
  <r>
    <s v="TXN00026"/>
    <d v="2024-04-30T00:00:00"/>
    <x v="0"/>
    <x v="0"/>
    <x v="0"/>
    <x v="0"/>
    <x v="1"/>
    <n v="3"/>
    <n v="15034.76"/>
    <n v="45104.28"/>
    <n v="27111.040000000001"/>
    <n v="17993.240000000002"/>
    <n v="39.89"/>
  </r>
  <r>
    <s v="TXN00027"/>
    <d v="2024-05-16T00:00:00"/>
    <x v="1"/>
    <x v="0"/>
    <x v="1"/>
    <x v="14"/>
    <x v="1"/>
    <n v="3"/>
    <n v="16347.06"/>
    <n v="49041.19"/>
    <n v="28169.87"/>
    <n v="20871.310000000001"/>
    <n v="42.56"/>
  </r>
  <r>
    <s v="TXN00028"/>
    <d v="2024-11-10T00:00:00"/>
    <x v="5"/>
    <x v="2"/>
    <x v="3"/>
    <x v="8"/>
    <x v="2"/>
    <n v="1"/>
    <n v="3615.34"/>
    <n v="3615.34"/>
    <n v="2011.9"/>
    <n v="1603.44"/>
    <n v="44.35"/>
  </r>
  <r>
    <s v="TXN00029"/>
    <d v="2024-02-21T00:00:00"/>
    <x v="6"/>
    <x v="3"/>
    <x v="0"/>
    <x v="12"/>
    <x v="0"/>
    <n v="2"/>
    <n v="55684.06"/>
    <n v="111368.12"/>
    <n v="62901.68"/>
    <n v="48466.44"/>
    <n v="43.52"/>
  </r>
  <r>
    <s v="TXN00030"/>
    <d v="2024-03-21T00:00:00"/>
    <x v="10"/>
    <x v="3"/>
    <x v="1"/>
    <x v="11"/>
    <x v="3"/>
    <n v="2"/>
    <n v="31165.56"/>
    <n v="62331.11"/>
    <n v="34488.120000000003"/>
    <n v="27842.99"/>
    <n v="44.67"/>
  </r>
  <r>
    <s v="TXN00031"/>
    <d v="2024-08-11T00:00:00"/>
    <x v="8"/>
    <x v="1"/>
    <x v="2"/>
    <x v="15"/>
    <x v="0"/>
    <n v="6"/>
    <n v="47173.42"/>
    <n v="283040.53999999998"/>
    <n v="169525.79"/>
    <n v="113514.75"/>
    <n v="40.11"/>
  </r>
  <r>
    <s v="TXN00032"/>
    <d v="2024-06-08T00:00:00"/>
    <x v="7"/>
    <x v="0"/>
    <x v="3"/>
    <x v="8"/>
    <x v="0"/>
    <n v="4"/>
    <n v="46212.800000000003"/>
    <n v="184851.20000000001"/>
    <n v="108501.27"/>
    <n v="76349.929999999993"/>
    <n v="41.3"/>
  </r>
  <r>
    <s v="TXN00033"/>
    <d v="2024-09-11T00:00:00"/>
    <x v="4"/>
    <x v="1"/>
    <x v="1"/>
    <x v="8"/>
    <x v="1"/>
    <n v="4"/>
    <n v="19917.12"/>
    <n v="79668.460000000006"/>
    <n v="46995.03"/>
    <n v="32673.439999999999"/>
    <n v="41.01"/>
  </r>
  <r>
    <s v="TXN00034"/>
    <d v="2024-08-27T00:00:00"/>
    <x v="8"/>
    <x v="1"/>
    <x v="2"/>
    <x v="15"/>
    <x v="2"/>
    <n v="3"/>
    <n v="2746.07"/>
    <n v="8238.2199999999993"/>
    <n v="4564.6099999999997"/>
    <n v="3673.61"/>
    <n v="44.59"/>
  </r>
  <r>
    <s v="TXN00035"/>
    <d v="2024-05-27T00:00:00"/>
    <x v="1"/>
    <x v="0"/>
    <x v="0"/>
    <x v="16"/>
    <x v="2"/>
    <n v="3"/>
    <n v="4844.6000000000004"/>
    <n v="14533.79"/>
    <n v="9170.1"/>
    <n v="5363.7"/>
    <n v="36.9"/>
  </r>
  <r>
    <s v="TXN00036"/>
    <d v="2024-05-27T00:00:00"/>
    <x v="1"/>
    <x v="0"/>
    <x v="0"/>
    <x v="0"/>
    <x v="1"/>
    <n v="7"/>
    <n v="19683.650000000001"/>
    <n v="137785.54999999999"/>
    <n v="77676.89"/>
    <n v="60108.66"/>
    <n v="43.62"/>
  </r>
  <r>
    <s v="TXN00037"/>
    <d v="2024-05-30T00:00:00"/>
    <x v="1"/>
    <x v="0"/>
    <x v="1"/>
    <x v="4"/>
    <x v="0"/>
    <n v="7"/>
    <n v="54899.76"/>
    <n v="384298.32"/>
    <n v="242769.79"/>
    <n v="141528.53"/>
    <n v="36.83"/>
  </r>
  <r>
    <s v="TXN00038"/>
    <d v="2024-02-29T00:00:00"/>
    <x v="6"/>
    <x v="3"/>
    <x v="2"/>
    <x v="17"/>
    <x v="1"/>
    <n v="6"/>
    <n v="19486.080000000002"/>
    <n v="116916.47"/>
    <n v="74831.429999999993"/>
    <n v="42085.04"/>
    <n v="36"/>
  </r>
  <r>
    <s v="TXN00039"/>
    <d v="2024-01-09T00:00:00"/>
    <x v="9"/>
    <x v="3"/>
    <x v="2"/>
    <x v="3"/>
    <x v="0"/>
    <n v="3"/>
    <n v="57844.86"/>
    <n v="173534.59"/>
    <n v="102463.64"/>
    <n v="71070.95"/>
    <n v="40.950000000000003"/>
  </r>
  <r>
    <s v="TXN00040"/>
    <d v="2024-06-09T00:00:00"/>
    <x v="7"/>
    <x v="0"/>
    <x v="0"/>
    <x v="16"/>
    <x v="1"/>
    <n v="4"/>
    <n v="19492.77"/>
    <n v="77971.08"/>
    <n v="47612.49"/>
    <n v="30358.59"/>
    <n v="38.94"/>
  </r>
  <r>
    <s v="TXN00041"/>
    <d v="2024-08-14T00:00:00"/>
    <x v="8"/>
    <x v="1"/>
    <x v="1"/>
    <x v="14"/>
    <x v="0"/>
    <n v="1"/>
    <n v="45075.92"/>
    <n v="45075.92"/>
    <n v="25516.62"/>
    <n v="19559.310000000001"/>
    <n v="43.39"/>
  </r>
  <r>
    <s v="TXN00042"/>
    <d v="2024-12-03T00:00:00"/>
    <x v="3"/>
    <x v="2"/>
    <x v="3"/>
    <x v="6"/>
    <x v="0"/>
    <n v="5"/>
    <n v="48364.04"/>
    <n v="241820.2"/>
    <n v="150223.04000000001"/>
    <n v="91597.16"/>
    <n v="37.880000000000003"/>
  </r>
  <r>
    <s v="TXN00043"/>
    <d v="2024-10-15T00:00:00"/>
    <x v="11"/>
    <x v="2"/>
    <x v="1"/>
    <x v="14"/>
    <x v="2"/>
    <n v="4"/>
    <n v="3465.88"/>
    <n v="13863.5"/>
    <n v="8656.61"/>
    <n v="5206.8900000000003"/>
    <n v="37.56"/>
  </r>
  <r>
    <s v="TXN00044"/>
    <d v="2024-07-13T00:00:00"/>
    <x v="2"/>
    <x v="1"/>
    <x v="2"/>
    <x v="10"/>
    <x v="1"/>
    <n v="4"/>
    <n v="17544.07"/>
    <n v="70176.28"/>
    <n v="43062.5"/>
    <n v="27113.78"/>
    <n v="38.64"/>
  </r>
  <r>
    <s v="TXN00045"/>
    <d v="2024-01-22T00:00:00"/>
    <x v="9"/>
    <x v="3"/>
    <x v="1"/>
    <x v="4"/>
    <x v="3"/>
    <n v="6"/>
    <n v="30896.47"/>
    <n v="185378.8"/>
    <n v="118494.99"/>
    <n v="66883.81"/>
    <n v="36.08"/>
  </r>
  <r>
    <s v="TXN00046"/>
    <d v="2024-10-09T00:00:00"/>
    <x v="11"/>
    <x v="2"/>
    <x v="1"/>
    <x v="2"/>
    <x v="1"/>
    <n v="6"/>
    <n v="18225.52"/>
    <n v="109353.1"/>
    <n v="67459.100000000006"/>
    <n v="41894"/>
    <n v="38.31"/>
  </r>
  <r>
    <s v="TXN00047"/>
    <d v="2024-11-12T00:00:00"/>
    <x v="5"/>
    <x v="2"/>
    <x v="1"/>
    <x v="18"/>
    <x v="0"/>
    <n v="1"/>
    <n v="45654.06"/>
    <n v="45654.06"/>
    <n v="29650.26"/>
    <n v="16003.8"/>
    <n v="35.049999999999997"/>
  </r>
  <r>
    <s v="TXN00048"/>
    <d v="2024-06-06T00:00:00"/>
    <x v="7"/>
    <x v="0"/>
    <x v="0"/>
    <x v="19"/>
    <x v="1"/>
    <n v="6"/>
    <n v="16850.79"/>
    <n v="101104.76"/>
    <n v="55763.89"/>
    <n v="45340.87"/>
    <n v="44.85"/>
  </r>
  <r>
    <s v="TXN00049"/>
    <d v="2024-10-06T00:00:00"/>
    <x v="11"/>
    <x v="2"/>
    <x v="0"/>
    <x v="1"/>
    <x v="3"/>
    <n v="5"/>
    <n v="33584.39"/>
    <n v="167921.94"/>
    <n v="108818.98"/>
    <n v="59102.95"/>
    <n v="35.200000000000003"/>
  </r>
  <r>
    <s v="TXN00050"/>
    <d v="2024-04-25T00:00:00"/>
    <x v="0"/>
    <x v="0"/>
    <x v="0"/>
    <x v="1"/>
    <x v="2"/>
    <n v="7"/>
    <n v="3073.9"/>
    <n v="21517.3"/>
    <n v="12878.7"/>
    <n v="8638.59"/>
    <n v="40.15"/>
  </r>
  <r>
    <s v="TXN00051"/>
    <d v="2024-01-18T00:00:00"/>
    <x v="9"/>
    <x v="3"/>
    <x v="2"/>
    <x v="17"/>
    <x v="0"/>
    <n v="6"/>
    <n v="55440.45"/>
    <n v="332642.68"/>
    <n v="201916.14"/>
    <n v="130726.54"/>
    <n v="39.299999999999997"/>
  </r>
  <r>
    <s v="TXN00052"/>
    <d v="2024-10-06T00:00:00"/>
    <x v="11"/>
    <x v="2"/>
    <x v="3"/>
    <x v="5"/>
    <x v="0"/>
    <n v="6"/>
    <n v="50379.7"/>
    <n v="302278.21000000002"/>
    <n v="173935.83"/>
    <n v="128342.38"/>
    <n v="42.46"/>
  </r>
  <r>
    <s v="TXN00053"/>
    <d v="2024-09-29T00:00:00"/>
    <x v="4"/>
    <x v="1"/>
    <x v="2"/>
    <x v="15"/>
    <x v="0"/>
    <n v="6"/>
    <n v="50392.37"/>
    <n v="302354.2"/>
    <n v="175171.68"/>
    <n v="127182.52"/>
    <n v="42.06"/>
  </r>
  <r>
    <s v="TXN00054"/>
    <d v="2024-09-03T00:00:00"/>
    <x v="4"/>
    <x v="1"/>
    <x v="3"/>
    <x v="20"/>
    <x v="3"/>
    <n v="1"/>
    <n v="34172.71"/>
    <n v="34172.71"/>
    <n v="19073.82"/>
    <n v="15098.89"/>
    <n v="44.18"/>
  </r>
  <r>
    <s v="TXN00055"/>
    <d v="2024-11-08T00:00:00"/>
    <x v="5"/>
    <x v="2"/>
    <x v="0"/>
    <x v="0"/>
    <x v="2"/>
    <n v="1"/>
    <n v="2283.7600000000002"/>
    <n v="2283.7600000000002"/>
    <n v="1346.69"/>
    <n v="937.08"/>
    <n v="41.03"/>
  </r>
  <r>
    <s v="TXN00056"/>
    <d v="2024-05-21T00:00:00"/>
    <x v="1"/>
    <x v="0"/>
    <x v="0"/>
    <x v="16"/>
    <x v="0"/>
    <n v="7"/>
    <n v="50633.74"/>
    <n v="354436.21"/>
    <n v="198270.98"/>
    <n v="156165.23000000001"/>
    <n v="44.06"/>
  </r>
  <r>
    <s v="TXN00057"/>
    <d v="2024-08-02T00:00:00"/>
    <x v="8"/>
    <x v="1"/>
    <x v="1"/>
    <x v="9"/>
    <x v="1"/>
    <n v="2"/>
    <n v="17713.22"/>
    <n v="35426.449999999997"/>
    <n v="20499.66"/>
    <n v="14926.79"/>
    <n v="42.13"/>
  </r>
  <r>
    <s v="TXN00058"/>
    <d v="2024-11-09T00:00:00"/>
    <x v="5"/>
    <x v="2"/>
    <x v="3"/>
    <x v="6"/>
    <x v="1"/>
    <n v="4"/>
    <n v="15194.17"/>
    <n v="60776.69"/>
    <n v="35270.33"/>
    <n v="25506.37"/>
    <n v="41.97"/>
  </r>
  <r>
    <s v="TXN00059"/>
    <d v="2024-04-10T00:00:00"/>
    <x v="0"/>
    <x v="0"/>
    <x v="2"/>
    <x v="10"/>
    <x v="1"/>
    <n v="4"/>
    <n v="16079.11"/>
    <n v="64316.42"/>
    <n v="39380.239999999998"/>
    <n v="24936.18"/>
    <n v="38.770000000000003"/>
  </r>
  <r>
    <s v="TXN00060"/>
    <d v="2024-07-14T00:00:00"/>
    <x v="2"/>
    <x v="1"/>
    <x v="1"/>
    <x v="14"/>
    <x v="2"/>
    <n v="4"/>
    <n v="3645.42"/>
    <n v="14581.66"/>
    <n v="9039.92"/>
    <n v="5541.74"/>
    <n v="38"/>
  </r>
  <r>
    <s v="TXN00061"/>
    <d v="2024-11-03T00:00:00"/>
    <x v="5"/>
    <x v="2"/>
    <x v="0"/>
    <x v="19"/>
    <x v="2"/>
    <n v="2"/>
    <n v="3291.83"/>
    <n v="6583.65"/>
    <n v="4144.53"/>
    <n v="2439.12"/>
    <n v="37.049999999999997"/>
  </r>
  <r>
    <s v="TXN00062"/>
    <d v="2024-11-14T00:00:00"/>
    <x v="5"/>
    <x v="2"/>
    <x v="1"/>
    <x v="18"/>
    <x v="3"/>
    <n v="7"/>
    <n v="28762.91"/>
    <n v="201340.36"/>
    <n v="114448.58"/>
    <n v="86891.78"/>
    <n v="43.16"/>
  </r>
  <r>
    <s v="TXN00063"/>
    <d v="2024-11-13T00:00:00"/>
    <x v="5"/>
    <x v="2"/>
    <x v="2"/>
    <x v="10"/>
    <x v="1"/>
    <n v="1"/>
    <n v="15866.47"/>
    <n v="15866.47"/>
    <n v="8974.77"/>
    <n v="6891.7"/>
    <n v="43.44"/>
  </r>
  <r>
    <s v="TXN00064"/>
    <d v="2024-10-16T00:00:00"/>
    <x v="11"/>
    <x v="2"/>
    <x v="1"/>
    <x v="4"/>
    <x v="2"/>
    <n v="1"/>
    <n v="4640.79"/>
    <n v="4640.79"/>
    <n v="2682.35"/>
    <n v="1958.44"/>
    <n v="42.2"/>
  </r>
  <r>
    <s v="TXN00065"/>
    <d v="2024-09-28T00:00:00"/>
    <x v="4"/>
    <x v="1"/>
    <x v="0"/>
    <x v="21"/>
    <x v="2"/>
    <n v="7"/>
    <n v="3742.69"/>
    <n v="26198.84"/>
    <n v="16321.98"/>
    <n v="9876.86"/>
    <n v="37.700000000000003"/>
  </r>
  <r>
    <s v="TXN00066"/>
    <d v="2024-03-16T00:00:00"/>
    <x v="10"/>
    <x v="3"/>
    <x v="3"/>
    <x v="5"/>
    <x v="0"/>
    <n v="5"/>
    <n v="46802.47"/>
    <n v="234012.35"/>
    <n v="136707.20000000001"/>
    <n v="97305.15"/>
    <n v="41.58"/>
  </r>
  <r>
    <s v="TXN00067"/>
    <d v="2024-08-07T00:00:00"/>
    <x v="8"/>
    <x v="1"/>
    <x v="0"/>
    <x v="21"/>
    <x v="1"/>
    <n v="6"/>
    <n v="19277.3"/>
    <n v="115663.82"/>
    <n v="71753.88"/>
    <n v="43909.94"/>
    <n v="37.96"/>
  </r>
  <r>
    <s v="TXN00068"/>
    <d v="2024-07-22T00:00:00"/>
    <x v="2"/>
    <x v="1"/>
    <x v="3"/>
    <x v="6"/>
    <x v="2"/>
    <n v="5"/>
    <n v="3893.89"/>
    <n v="19469.439999999999"/>
    <n v="11045.4"/>
    <n v="8424.0300000000007"/>
    <n v="43.27"/>
  </r>
  <r>
    <s v="TXN00069"/>
    <d v="2024-08-09T00:00:00"/>
    <x v="8"/>
    <x v="1"/>
    <x v="0"/>
    <x v="21"/>
    <x v="3"/>
    <n v="2"/>
    <n v="39237.19"/>
    <n v="78474.37"/>
    <n v="50119.07"/>
    <n v="28355.3"/>
    <n v="36.130000000000003"/>
  </r>
  <r>
    <s v="TXN00070"/>
    <d v="2024-06-28T00:00:00"/>
    <x v="7"/>
    <x v="0"/>
    <x v="3"/>
    <x v="6"/>
    <x v="0"/>
    <n v="2"/>
    <n v="52515.6"/>
    <n v="105031.2"/>
    <n v="63432.3"/>
    <n v="41598.89"/>
    <n v="39.61"/>
  </r>
  <r>
    <s v="TXN00071"/>
    <d v="2024-01-04T00:00:00"/>
    <x v="9"/>
    <x v="3"/>
    <x v="3"/>
    <x v="7"/>
    <x v="2"/>
    <n v="3"/>
    <n v="5203.8"/>
    <n v="15611.39"/>
    <n v="9643.42"/>
    <n v="5967.97"/>
    <n v="38.229999999999997"/>
  </r>
  <r>
    <s v="TXN00072"/>
    <d v="2024-06-11T00:00:00"/>
    <x v="7"/>
    <x v="0"/>
    <x v="0"/>
    <x v="0"/>
    <x v="1"/>
    <n v="5"/>
    <n v="17728.080000000002"/>
    <n v="88640.42"/>
    <n v="57097.41"/>
    <n v="31543.01"/>
    <n v="35.590000000000003"/>
  </r>
  <r>
    <s v="TXN00073"/>
    <d v="2024-11-18T00:00:00"/>
    <x v="5"/>
    <x v="2"/>
    <x v="2"/>
    <x v="15"/>
    <x v="2"/>
    <n v="2"/>
    <n v="2826.74"/>
    <n v="5653.47"/>
    <n v="3264.29"/>
    <n v="2389.1799999999998"/>
    <n v="42.26"/>
  </r>
  <r>
    <s v="TXN00074"/>
    <d v="2024-01-12T00:00:00"/>
    <x v="9"/>
    <x v="3"/>
    <x v="1"/>
    <x v="4"/>
    <x v="1"/>
    <n v="3"/>
    <n v="18091.27"/>
    <n v="54273.81"/>
    <n v="31677.200000000001"/>
    <n v="22596.61"/>
    <n v="41.63"/>
  </r>
  <r>
    <s v="TXN00075"/>
    <d v="2024-03-30T00:00:00"/>
    <x v="10"/>
    <x v="3"/>
    <x v="0"/>
    <x v="19"/>
    <x v="3"/>
    <n v="2"/>
    <n v="30109.37"/>
    <n v="60218.74"/>
    <n v="34690.17"/>
    <n v="25528.560000000001"/>
    <n v="42.39"/>
  </r>
  <r>
    <s v="TXN00076"/>
    <d v="2024-07-14T00:00:00"/>
    <x v="2"/>
    <x v="1"/>
    <x v="3"/>
    <x v="7"/>
    <x v="3"/>
    <n v="5"/>
    <n v="39049.72"/>
    <n v="195248.61"/>
    <n v="108151.84"/>
    <n v="87096.77"/>
    <n v="44.61"/>
  </r>
  <r>
    <s v="TXN00077"/>
    <d v="2024-08-04T00:00:00"/>
    <x v="8"/>
    <x v="1"/>
    <x v="0"/>
    <x v="1"/>
    <x v="1"/>
    <n v="4"/>
    <n v="15887.2"/>
    <n v="63548.79"/>
    <n v="39721.9"/>
    <n v="23826.89"/>
    <n v="37.49"/>
  </r>
  <r>
    <s v="TXN00078"/>
    <d v="2024-07-10T00:00:00"/>
    <x v="2"/>
    <x v="1"/>
    <x v="1"/>
    <x v="11"/>
    <x v="0"/>
    <n v="4"/>
    <n v="50580.27"/>
    <n v="202321.09"/>
    <n v="126985.07"/>
    <n v="75336.02"/>
    <n v="37.24"/>
  </r>
  <r>
    <s v="TXN00079"/>
    <d v="2024-05-31T00:00:00"/>
    <x v="1"/>
    <x v="0"/>
    <x v="1"/>
    <x v="8"/>
    <x v="1"/>
    <n v="4"/>
    <n v="17144.97"/>
    <n v="68579.88"/>
    <n v="42868.4"/>
    <n v="25711.48"/>
    <n v="37.49"/>
  </r>
  <r>
    <s v="TXN00080"/>
    <d v="2024-08-04T00:00:00"/>
    <x v="8"/>
    <x v="1"/>
    <x v="1"/>
    <x v="11"/>
    <x v="3"/>
    <n v="1"/>
    <n v="33014.910000000003"/>
    <n v="33014.910000000003"/>
    <n v="19797.59"/>
    <n v="13217.32"/>
    <n v="40.03"/>
  </r>
  <r>
    <s v="TXN00081"/>
    <d v="2024-08-04T00:00:00"/>
    <x v="8"/>
    <x v="1"/>
    <x v="1"/>
    <x v="14"/>
    <x v="0"/>
    <n v="3"/>
    <n v="50838.03"/>
    <n v="152514.07999999999"/>
    <n v="84048.03"/>
    <n v="68466.039999999994"/>
    <n v="44.89"/>
  </r>
  <r>
    <s v="TXN00082"/>
    <d v="2024-08-20T00:00:00"/>
    <x v="8"/>
    <x v="1"/>
    <x v="1"/>
    <x v="18"/>
    <x v="1"/>
    <n v="7"/>
    <n v="19784"/>
    <n v="138488.03"/>
    <n v="85540.87"/>
    <n v="52947.16"/>
    <n v="38.229999999999997"/>
  </r>
  <r>
    <s v="TXN00083"/>
    <d v="2024-02-21T00:00:00"/>
    <x v="6"/>
    <x v="3"/>
    <x v="1"/>
    <x v="2"/>
    <x v="0"/>
    <n v="5"/>
    <n v="46375.56"/>
    <n v="231877.81"/>
    <n v="141502.06"/>
    <n v="90375.75"/>
    <n v="38.979999999999997"/>
  </r>
  <r>
    <s v="TXN00084"/>
    <d v="2024-02-22T00:00:00"/>
    <x v="6"/>
    <x v="3"/>
    <x v="2"/>
    <x v="3"/>
    <x v="1"/>
    <n v="5"/>
    <n v="17472.099999999999"/>
    <n v="87360.51"/>
    <n v="48551.12"/>
    <n v="38809.39"/>
    <n v="44.42"/>
  </r>
  <r>
    <s v="TXN00085"/>
    <d v="2024-08-10T00:00:00"/>
    <x v="8"/>
    <x v="1"/>
    <x v="3"/>
    <x v="7"/>
    <x v="0"/>
    <n v="7"/>
    <n v="53188.74"/>
    <n v="372321.16"/>
    <n v="231056.24"/>
    <n v="141264.92000000001"/>
    <n v="37.94"/>
  </r>
  <r>
    <s v="TXN00086"/>
    <d v="2024-08-26T00:00:00"/>
    <x v="8"/>
    <x v="1"/>
    <x v="0"/>
    <x v="0"/>
    <x v="3"/>
    <n v="2"/>
    <n v="34273.269999999997"/>
    <n v="68546.539999999994"/>
    <n v="38393.760000000002"/>
    <n v="30152.78"/>
    <n v="43.99"/>
  </r>
  <r>
    <s v="TXN00087"/>
    <d v="2024-01-07T00:00:00"/>
    <x v="9"/>
    <x v="3"/>
    <x v="1"/>
    <x v="14"/>
    <x v="2"/>
    <n v="2"/>
    <n v="3586.61"/>
    <n v="7173.21"/>
    <n v="4585.04"/>
    <n v="2588.17"/>
    <n v="36.08"/>
  </r>
  <r>
    <s v="TXN00088"/>
    <d v="2024-07-12T00:00:00"/>
    <x v="2"/>
    <x v="1"/>
    <x v="0"/>
    <x v="1"/>
    <x v="1"/>
    <n v="6"/>
    <n v="19933.2"/>
    <n v="119599.19"/>
    <n v="70255.8"/>
    <n v="49343.39"/>
    <n v="41.26"/>
  </r>
  <r>
    <s v="TXN00089"/>
    <d v="2024-11-16T00:00:00"/>
    <x v="5"/>
    <x v="2"/>
    <x v="1"/>
    <x v="8"/>
    <x v="1"/>
    <n v="7"/>
    <n v="19538.47"/>
    <n v="136769.28"/>
    <n v="83318.320000000007"/>
    <n v="53450.96"/>
    <n v="39.08"/>
  </r>
  <r>
    <s v="TXN00090"/>
    <d v="2024-10-18T00:00:00"/>
    <x v="11"/>
    <x v="2"/>
    <x v="1"/>
    <x v="8"/>
    <x v="0"/>
    <n v="3"/>
    <n v="56657.2"/>
    <n v="169971.61"/>
    <n v="102975.67"/>
    <n v="66995.94"/>
    <n v="39.42"/>
  </r>
  <r>
    <s v="TXN00091"/>
    <d v="2024-03-31T00:00:00"/>
    <x v="10"/>
    <x v="3"/>
    <x v="3"/>
    <x v="6"/>
    <x v="0"/>
    <n v="7"/>
    <n v="51516.78"/>
    <n v="360617.44"/>
    <n v="207487.82"/>
    <n v="153129.63"/>
    <n v="42.46"/>
  </r>
  <r>
    <s v="TXN00092"/>
    <d v="2024-08-29T00:00:00"/>
    <x v="8"/>
    <x v="1"/>
    <x v="0"/>
    <x v="12"/>
    <x v="3"/>
    <n v="4"/>
    <n v="26782.27"/>
    <n v="107129.07"/>
    <n v="60180.04"/>
    <n v="46949.04"/>
    <n v="43.82"/>
  </r>
  <r>
    <s v="TXN00093"/>
    <d v="2024-12-26T00:00:00"/>
    <x v="3"/>
    <x v="2"/>
    <x v="2"/>
    <x v="3"/>
    <x v="1"/>
    <n v="4"/>
    <n v="19810.86"/>
    <n v="79243.45"/>
    <n v="46554.5"/>
    <n v="32688.95"/>
    <n v="41.25"/>
  </r>
  <r>
    <s v="TXN00094"/>
    <d v="2024-11-07T00:00:00"/>
    <x v="5"/>
    <x v="2"/>
    <x v="2"/>
    <x v="17"/>
    <x v="1"/>
    <n v="6"/>
    <n v="19010.55"/>
    <n v="114063.28"/>
    <n v="73889.06"/>
    <n v="40174.22"/>
    <n v="35.22"/>
  </r>
  <r>
    <s v="TXN00095"/>
    <d v="2024-06-21T00:00:00"/>
    <x v="7"/>
    <x v="0"/>
    <x v="0"/>
    <x v="21"/>
    <x v="1"/>
    <n v="6"/>
    <n v="19623.22"/>
    <n v="117739.3"/>
    <n v="75578.22"/>
    <n v="42161.08"/>
    <n v="35.81"/>
  </r>
  <r>
    <s v="TXN00096"/>
    <d v="2024-06-12T00:00:00"/>
    <x v="7"/>
    <x v="0"/>
    <x v="1"/>
    <x v="1"/>
    <x v="2"/>
    <n v="1"/>
    <n v="4092.39"/>
    <n v="4092.39"/>
    <n v="2508.39"/>
    <n v="1584"/>
    <n v="38.71"/>
  </r>
  <r>
    <s v="TXN00097"/>
    <d v="2024-01-14T00:00:00"/>
    <x v="9"/>
    <x v="3"/>
    <x v="2"/>
    <x v="15"/>
    <x v="3"/>
    <n v="6"/>
    <n v="30763.03"/>
    <n v="184578.16"/>
    <n v="115123.26"/>
    <n v="69454.899999999994"/>
    <n v="37.630000000000003"/>
  </r>
  <r>
    <s v="TXN00098"/>
    <d v="2024-01-12T00:00:00"/>
    <x v="9"/>
    <x v="3"/>
    <x v="3"/>
    <x v="5"/>
    <x v="2"/>
    <n v="6"/>
    <n v="3822.63"/>
    <n v="22935.759999999998"/>
    <n v="14036.99"/>
    <n v="8898.77"/>
    <n v="38.799999999999997"/>
  </r>
  <r>
    <s v="TXN00099"/>
    <d v="2024-01-08T00:00:00"/>
    <x v="9"/>
    <x v="3"/>
    <x v="3"/>
    <x v="5"/>
    <x v="2"/>
    <n v="2"/>
    <n v="3553.07"/>
    <n v="7106.15"/>
    <n v="4071.39"/>
    <n v="3034.75"/>
    <n v="42.71"/>
  </r>
  <r>
    <s v="TXN00100"/>
    <d v="2024-01-28T00:00:00"/>
    <x v="9"/>
    <x v="3"/>
    <x v="0"/>
    <x v="0"/>
    <x v="1"/>
    <n v="4"/>
    <n v="19931.05"/>
    <n v="79724.210000000006"/>
    <n v="49414.36"/>
    <n v="30309.86"/>
    <n v="38.020000000000003"/>
  </r>
  <r>
    <s v="TXN00101"/>
    <d v="2024-05-24T00:00:00"/>
    <x v="1"/>
    <x v="0"/>
    <x v="2"/>
    <x v="15"/>
    <x v="1"/>
    <n v="4"/>
    <n v="18013.91"/>
    <n v="72055.64"/>
    <n v="41583"/>
    <n v="30472.63"/>
    <n v="42.29"/>
  </r>
  <r>
    <s v="TXN00102"/>
    <d v="2024-02-15T00:00:00"/>
    <x v="6"/>
    <x v="3"/>
    <x v="1"/>
    <x v="11"/>
    <x v="3"/>
    <n v="2"/>
    <n v="31249.59"/>
    <n v="62499.17"/>
    <n v="38006.76"/>
    <n v="24492.41"/>
    <n v="39.19"/>
  </r>
  <r>
    <s v="TXN00103"/>
    <d v="2024-01-10T00:00:00"/>
    <x v="9"/>
    <x v="3"/>
    <x v="1"/>
    <x v="4"/>
    <x v="0"/>
    <n v="5"/>
    <n v="47472.51"/>
    <n v="237362.57"/>
    <n v="140311.07"/>
    <n v="97051.5"/>
    <n v="40.89"/>
  </r>
  <r>
    <s v="TXN00104"/>
    <d v="2024-03-05T00:00:00"/>
    <x v="10"/>
    <x v="3"/>
    <x v="3"/>
    <x v="5"/>
    <x v="0"/>
    <n v="1"/>
    <n v="50651.08"/>
    <n v="50651.08"/>
    <n v="31654.79"/>
    <n v="18996.29"/>
    <n v="37.5"/>
  </r>
  <r>
    <s v="TXN00105"/>
    <d v="2024-08-04T00:00:00"/>
    <x v="8"/>
    <x v="1"/>
    <x v="1"/>
    <x v="9"/>
    <x v="0"/>
    <n v="1"/>
    <n v="57574.93"/>
    <n v="57574.93"/>
    <n v="34364.71"/>
    <n v="23210.22"/>
    <n v="40.31"/>
  </r>
  <r>
    <s v="TXN00106"/>
    <d v="2024-04-08T00:00:00"/>
    <x v="0"/>
    <x v="0"/>
    <x v="2"/>
    <x v="15"/>
    <x v="2"/>
    <n v="7"/>
    <n v="5458.89"/>
    <n v="38212.230000000003"/>
    <n v="24123"/>
    <n v="14089.23"/>
    <n v="36.869999999999997"/>
  </r>
  <r>
    <s v="TXN00107"/>
    <d v="2024-12-16T00:00:00"/>
    <x v="3"/>
    <x v="2"/>
    <x v="0"/>
    <x v="19"/>
    <x v="0"/>
    <n v="5"/>
    <n v="53777.24"/>
    <n v="268886.21000000002"/>
    <n v="167411.81"/>
    <n v="101474.41"/>
    <n v="37.74"/>
  </r>
  <r>
    <s v="TXN00108"/>
    <d v="2024-07-20T00:00:00"/>
    <x v="2"/>
    <x v="1"/>
    <x v="3"/>
    <x v="20"/>
    <x v="1"/>
    <n v="5"/>
    <n v="17252.72"/>
    <n v="86263.6"/>
    <n v="48559.16"/>
    <n v="37704.449999999997"/>
    <n v="43.71"/>
  </r>
  <r>
    <s v="TXN00109"/>
    <d v="2024-02-20T00:00:00"/>
    <x v="6"/>
    <x v="3"/>
    <x v="0"/>
    <x v="1"/>
    <x v="2"/>
    <n v="6"/>
    <n v="5512.88"/>
    <n v="33077.300000000003"/>
    <n v="20696.46"/>
    <n v="12380.83"/>
    <n v="37.43"/>
  </r>
  <r>
    <s v="TXN00110"/>
    <d v="2024-02-03T00:00:00"/>
    <x v="6"/>
    <x v="3"/>
    <x v="0"/>
    <x v="16"/>
    <x v="2"/>
    <n v="7"/>
    <n v="4686.29"/>
    <n v="32804.050000000003"/>
    <n v="19749.05"/>
    <n v="13055"/>
    <n v="39.799999999999997"/>
  </r>
  <r>
    <s v="TXN00111"/>
    <d v="2024-04-27T00:00:00"/>
    <x v="0"/>
    <x v="0"/>
    <x v="1"/>
    <x v="1"/>
    <x v="3"/>
    <n v="4"/>
    <n v="37245.79"/>
    <n v="148983.14000000001"/>
    <n v="96361.91"/>
    <n v="52621.24"/>
    <n v="35.32"/>
  </r>
  <r>
    <s v="TXN00112"/>
    <d v="2024-08-09T00:00:00"/>
    <x v="8"/>
    <x v="1"/>
    <x v="1"/>
    <x v="11"/>
    <x v="1"/>
    <n v="7"/>
    <n v="15143.91"/>
    <n v="106007.39"/>
    <n v="66309.08"/>
    <n v="39698.31"/>
    <n v="37.450000000000003"/>
  </r>
  <r>
    <s v="TXN00113"/>
    <d v="2024-12-06T00:00:00"/>
    <x v="3"/>
    <x v="2"/>
    <x v="1"/>
    <x v="4"/>
    <x v="0"/>
    <n v="3"/>
    <n v="58547.27"/>
    <n v="175641.8"/>
    <n v="107444.72"/>
    <n v="68197.08"/>
    <n v="38.83"/>
  </r>
  <r>
    <s v="TXN00114"/>
    <d v="2024-08-13T00:00:00"/>
    <x v="8"/>
    <x v="1"/>
    <x v="1"/>
    <x v="4"/>
    <x v="3"/>
    <n v="2"/>
    <n v="30883.66"/>
    <n v="61767.32"/>
    <n v="36674.19"/>
    <n v="25093.13"/>
    <n v="40.630000000000003"/>
  </r>
  <r>
    <s v="TXN00115"/>
    <d v="2024-11-03T00:00:00"/>
    <x v="5"/>
    <x v="2"/>
    <x v="2"/>
    <x v="17"/>
    <x v="1"/>
    <n v="7"/>
    <n v="16982.71"/>
    <n v="118879"/>
    <n v="72778.75"/>
    <n v="46100.24"/>
    <n v="38.78"/>
  </r>
  <r>
    <s v="TXN00116"/>
    <d v="2024-02-20T00:00:00"/>
    <x v="6"/>
    <x v="3"/>
    <x v="2"/>
    <x v="15"/>
    <x v="1"/>
    <n v="4"/>
    <n v="17296.73"/>
    <n v="69186.94"/>
    <n v="43878.99"/>
    <n v="25307.95"/>
    <n v="36.58"/>
  </r>
  <r>
    <s v="TXN00117"/>
    <d v="2024-09-29T00:00:00"/>
    <x v="4"/>
    <x v="1"/>
    <x v="0"/>
    <x v="13"/>
    <x v="2"/>
    <n v="5"/>
    <n v="5920.13"/>
    <n v="29600.65"/>
    <n v="17738.54"/>
    <n v="11862.11"/>
    <n v="40.07"/>
  </r>
  <r>
    <s v="TXN00118"/>
    <d v="2024-07-23T00:00:00"/>
    <x v="2"/>
    <x v="1"/>
    <x v="1"/>
    <x v="9"/>
    <x v="0"/>
    <n v="3"/>
    <n v="46137.95"/>
    <n v="138413.85"/>
    <n v="77911.490000000005"/>
    <n v="60502.36"/>
    <n v="43.71"/>
  </r>
  <r>
    <s v="TXN00119"/>
    <d v="2024-07-01T00:00:00"/>
    <x v="2"/>
    <x v="1"/>
    <x v="1"/>
    <x v="2"/>
    <x v="2"/>
    <n v="4"/>
    <n v="2727.52"/>
    <n v="10910.08"/>
    <n v="6377.67"/>
    <n v="4532.41"/>
    <n v="41.54"/>
  </r>
  <r>
    <s v="TXN00120"/>
    <d v="2024-07-13T00:00:00"/>
    <x v="2"/>
    <x v="1"/>
    <x v="1"/>
    <x v="1"/>
    <x v="1"/>
    <n v="2"/>
    <n v="18009.68"/>
    <n v="36019.35"/>
    <n v="20616.93"/>
    <n v="15402.42"/>
    <n v="42.76"/>
  </r>
  <r>
    <s v="TXN00121"/>
    <d v="2024-10-03T00:00:00"/>
    <x v="11"/>
    <x v="2"/>
    <x v="0"/>
    <x v="19"/>
    <x v="2"/>
    <n v="2"/>
    <n v="2708.04"/>
    <n v="5416.08"/>
    <n v="3026.89"/>
    <n v="2389.1999999999998"/>
    <n v="44.11"/>
  </r>
  <r>
    <s v="TXN00122"/>
    <d v="2024-01-01T00:00:00"/>
    <x v="9"/>
    <x v="3"/>
    <x v="0"/>
    <x v="1"/>
    <x v="2"/>
    <n v="2"/>
    <n v="5576.87"/>
    <n v="11153.74"/>
    <n v="6278.16"/>
    <n v="4875.58"/>
    <n v="43.71"/>
  </r>
  <r>
    <s v="TXN00123"/>
    <d v="2024-08-05T00:00:00"/>
    <x v="8"/>
    <x v="1"/>
    <x v="0"/>
    <x v="21"/>
    <x v="1"/>
    <n v="2"/>
    <n v="18997.05"/>
    <n v="37994.1"/>
    <n v="23282.41"/>
    <n v="14711.7"/>
    <n v="38.72"/>
  </r>
  <r>
    <s v="TXN00124"/>
    <d v="2024-08-26T00:00:00"/>
    <x v="8"/>
    <x v="1"/>
    <x v="1"/>
    <x v="9"/>
    <x v="0"/>
    <n v="5"/>
    <n v="45038.93"/>
    <n v="225194.63"/>
    <n v="143410.72"/>
    <n v="81783.91"/>
    <n v="36.32"/>
  </r>
  <r>
    <s v="TXN00125"/>
    <d v="2024-01-08T00:00:00"/>
    <x v="9"/>
    <x v="3"/>
    <x v="2"/>
    <x v="3"/>
    <x v="1"/>
    <n v="4"/>
    <n v="16046.75"/>
    <n v="64186.99"/>
    <n v="37680.79"/>
    <n v="26506.2"/>
    <n v="41.3"/>
  </r>
  <r>
    <s v="TXN00126"/>
    <d v="2024-08-01T00:00:00"/>
    <x v="8"/>
    <x v="1"/>
    <x v="1"/>
    <x v="4"/>
    <x v="2"/>
    <n v="7"/>
    <n v="4125.0600000000004"/>
    <n v="28875.439999999999"/>
    <n v="17962.009999999998"/>
    <n v="10913.43"/>
    <n v="37.79"/>
  </r>
  <r>
    <s v="TXN00127"/>
    <d v="2024-06-02T00:00:00"/>
    <x v="7"/>
    <x v="0"/>
    <x v="1"/>
    <x v="9"/>
    <x v="2"/>
    <n v="3"/>
    <n v="4853.3999999999996"/>
    <n v="14560.2"/>
    <n v="9311.5499999999993"/>
    <n v="5248.65"/>
    <n v="36.049999999999997"/>
  </r>
  <r>
    <s v="TXN00128"/>
    <d v="2024-08-25T00:00:00"/>
    <x v="8"/>
    <x v="1"/>
    <x v="1"/>
    <x v="1"/>
    <x v="2"/>
    <n v="5"/>
    <n v="5468.86"/>
    <n v="27344.3"/>
    <n v="16007.75"/>
    <n v="11336.55"/>
    <n v="41.46"/>
  </r>
  <r>
    <s v="TXN00129"/>
    <d v="2024-01-15T00:00:00"/>
    <x v="9"/>
    <x v="3"/>
    <x v="2"/>
    <x v="3"/>
    <x v="1"/>
    <n v="4"/>
    <n v="15100.36"/>
    <n v="60401.42"/>
    <n v="35166.19"/>
    <n v="25235.24"/>
    <n v="41.78"/>
  </r>
  <r>
    <s v="TXN00130"/>
    <d v="2024-08-18T00:00:00"/>
    <x v="8"/>
    <x v="1"/>
    <x v="1"/>
    <x v="4"/>
    <x v="3"/>
    <n v="4"/>
    <n v="28498.25"/>
    <n v="113992.98"/>
    <n v="66605.27"/>
    <n v="47387.72"/>
    <n v="41.57"/>
  </r>
  <r>
    <s v="TXN00131"/>
    <d v="2024-01-25T00:00:00"/>
    <x v="9"/>
    <x v="3"/>
    <x v="0"/>
    <x v="12"/>
    <x v="0"/>
    <n v="1"/>
    <n v="52476.63"/>
    <n v="52476.63"/>
    <n v="29318.28"/>
    <n v="23158.36"/>
    <n v="44.13"/>
  </r>
  <r>
    <s v="TXN00132"/>
    <d v="2024-04-20T00:00:00"/>
    <x v="0"/>
    <x v="0"/>
    <x v="1"/>
    <x v="4"/>
    <x v="0"/>
    <n v="1"/>
    <n v="53466.879999999997"/>
    <n v="53466.879999999997"/>
    <n v="31431.96"/>
    <n v="22034.92"/>
    <n v="41.21"/>
  </r>
  <r>
    <s v="TXN00133"/>
    <d v="2024-04-10T00:00:00"/>
    <x v="0"/>
    <x v="0"/>
    <x v="1"/>
    <x v="8"/>
    <x v="3"/>
    <n v="2"/>
    <n v="28665.3"/>
    <n v="57330.59"/>
    <n v="34388.31"/>
    <n v="22942.28"/>
    <n v="40.020000000000003"/>
  </r>
  <r>
    <s v="TXN00134"/>
    <d v="2024-08-16T00:00:00"/>
    <x v="8"/>
    <x v="1"/>
    <x v="2"/>
    <x v="15"/>
    <x v="1"/>
    <n v="6"/>
    <n v="16126.66"/>
    <n v="96759.98"/>
    <n v="56753.18"/>
    <n v="40006.800000000003"/>
    <n v="41.35"/>
  </r>
  <r>
    <s v="TXN00135"/>
    <d v="2024-04-21T00:00:00"/>
    <x v="0"/>
    <x v="0"/>
    <x v="0"/>
    <x v="12"/>
    <x v="0"/>
    <n v="6"/>
    <n v="49276.43"/>
    <n v="295658.57"/>
    <n v="167738.15"/>
    <n v="127920.42"/>
    <n v="43.27"/>
  </r>
  <r>
    <s v="TXN00136"/>
    <d v="2024-11-06T00:00:00"/>
    <x v="5"/>
    <x v="2"/>
    <x v="2"/>
    <x v="3"/>
    <x v="0"/>
    <n v="3"/>
    <n v="45273.64"/>
    <n v="135820.91"/>
    <n v="84167.7"/>
    <n v="51653.22"/>
    <n v="38.03"/>
  </r>
  <r>
    <s v="TXN00137"/>
    <d v="2024-08-10T00:00:00"/>
    <x v="8"/>
    <x v="1"/>
    <x v="1"/>
    <x v="4"/>
    <x v="2"/>
    <n v="4"/>
    <n v="5669.58"/>
    <n v="22678.33"/>
    <n v="12485.1"/>
    <n v="10193.23"/>
    <n v="44.95"/>
  </r>
  <r>
    <s v="TXN00138"/>
    <d v="2024-04-27T00:00:00"/>
    <x v="0"/>
    <x v="0"/>
    <x v="2"/>
    <x v="17"/>
    <x v="2"/>
    <n v="6"/>
    <n v="4674.57"/>
    <n v="28047.439999999999"/>
    <n v="18032.75"/>
    <n v="10014.69"/>
    <n v="35.71"/>
  </r>
  <r>
    <s v="TXN00139"/>
    <d v="2024-11-30T00:00:00"/>
    <x v="5"/>
    <x v="2"/>
    <x v="1"/>
    <x v="18"/>
    <x v="3"/>
    <n v="3"/>
    <n v="37578.74"/>
    <n v="112736.22"/>
    <n v="64316.89"/>
    <n v="48419.33"/>
    <n v="42.95"/>
  </r>
  <r>
    <s v="TXN00140"/>
    <d v="2024-04-27T00:00:00"/>
    <x v="0"/>
    <x v="0"/>
    <x v="0"/>
    <x v="16"/>
    <x v="2"/>
    <n v="1"/>
    <n v="4944.99"/>
    <n v="4944.99"/>
    <n v="2981.75"/>
    <n v="1963.24"/>
    <n v="39.700000000000003"/>
  </r>
  <r>
    <s v="TXN00141"/>
    <d v="2024-01-01T00:00:00"/>
    <x v="9"/>
    <x v="3"/>
    <x v="3"/>
    <x v="6"/>
    <x v="2"/>
    <n v="6"/>
    <n v="4324.95"/>
    <n v="25949.72"/>
    <n v="14672.91"/>
    <n v="11276.81"/>
    <n v="43.46"/>
  </r>
  <r>
    <s v="TXN00142"/>
    <d v="2024-12-21T00:00:00"/>
    <x v="3"/>
    <x v="2"/>
    <x v="0"/>
    <x v="21"/>
    <x v="0"/>
    <n v="1"/>
    <n v="50538.46"/>
    <n v="50538.46"/>
    <n v="30091.95"/>
    <n v="20446.509999999998"/>
    <n v="40.46"/>
  </r>
  <r>
    <s v="TXN00143"/>
    <d v="2024-09-17T00:00:00"/>
    <x v="4"/>
    <x v="1"/>
    <x v="3"/>
    <x v="5"/>
    <x v="3"/>
    <n v="5"/>
    <n v="35268.57"/>
    <n v="176342.87"/>
    <n v="98538.07"/>
    <n v="77804.800000000003"/>
    <n v="44.12"/>
  </r>
  <r>
    <s v="TXN00144"/>
    <d v="2024-11-14T00:00:00"/>
    <x v="5"/>
    <x v="2"/>
    <x v="0"/>
    <x v="1"/>
    <x v="1"/>
    <n v="1"/>
    <n v="17978.189999999999"/>
    <n v="17978.189999999999"/>
    <n v="10735.82"/>
    <n v="7242.38"/>
    <n v="40.28"/>
  </r>
  <r>
    <s v="TXN00145"/>
    <d v="2024-04-03T00:00:00"/>
    <x v="0"/>
    <x v="0"/>
    <x v="2"/>
    <x v="15"/>
    <x v="3"/>
    <n v="4"/>
    <n v="39475.4"/>
    <n v="157901.60999999999"/>
    <n v="88808.56"/>
    <n v="69093.05"/>
    <n v="43.76"/>
  </r>
  <r>
    <s v="TXN00146"/>
    <d v="2024-05-16T00:00:00"/>
    <x v="1"/>
    <x v="0"/>
    <x v="3"/>
    <x v="5"/>
    <x v="0"/>
    <n v="3"/>
    <n v="58896.74"/>
    <n v="176690.22"/>
    <n v="109929.53"/>
    <n v="66760.7"/>
    <n v="37.78"/>
  </r>
  <r>
    <s v="TXN00147"/>
    <d v="2024-02-29T00:00:00"/>
    <x v="6"/>
    <x v="3"/>
    <x v="0"/>
    <x v="22"/>
    <x v="0"/>
    <n v="1"/>
    <n v="56257.53"/>
    <n v="56257.53"/>
    <n v="35439.64"/>
    <n v="20817.89"/>
    <n v="37"/>
  </r>
  <r>
    <s v="TXN00148"/>
    <d v="2024-10-17T00:00:00"/>
    <x v="11"/>
    <x v="2"/>
    <x v="0"/>
    <x v="1"/>
    <x v="1"/>
    <n v="3"/>
    <n v="18325.990000000002"/>
    <n v="54977.96"/>
    <n v="33113.58"/>
    <n v="21864.37"/>
    <n v="39.770000000000003"/>
  </r>
  <r>
    <s v="TXN00149"/>
    <d v="2024-05-11T00:00:00"/>
    <x v="1"/>
    <x v="0"/>
    <x v="2"/>
    <x v="15"/>
    <x v="3"/>
    <n v="1"/>
    <n v="35244.730000000003"/>
    <n v="35244.730000000003"/>
    <n v="20977.48"/>
    <n v="14267.25"/>
    <n v="40.479999999999997"/>
  </r>
  <r>
    <s v="TXN00150"/>
    <d v="2024-04-13T00:00:00"/>
    <x v="0"/>
    <x v="0"/>
    <x v="1"/>
    <x v="8"/>
    <x v="0"/>
    <n v="5"/>
    <n v="49520.67"/>
    <n v="247603.34"/>
    <n v="154692.9"/>
    <n v="92910.45"/>
    <n v="37.520000000000003"/>
  </r>
  <r>
    <s v="TXN00151"/>
    <d v="2024-05-22T00:00:00"/>
    <x v="1"/>
    <x v="0"/>
    <x v="2"/>
    <x v="15"/>
    <x v="1"/>
    <n v="1"/>
    <n v="16957.41"/>
    <n v="16957.41"/>
    <n v="10228.469999999999"/>
    <n v="6728.94"/>
    <n v="39.68"/>
  </r>
  <r>
    <s v="TXN00152"/>
    <d v="2024-11-04T00:00:00"/>
    <x v="5"/>
    <x v="2"/>
    <x v="1"/>
    <x v="1"/>
    <x v="0"/>
    <n v="6"/>
    <n v="59097.48"/>
    <n v="354584.89"/>
    <n v="217279.27"/>
    <n v="137305.62"/>
    <n v="38.72"/>
  </r>
  <r>
    <s v="TXN00153"/>
    <d v="2024-02-11T00:00:00"/>
    <x v="6"/>
    <x v="3"/>
    <x v="0"/>
    <x v="16"/>
    <x v="0"/>
    <n v="5"/>
    <n v="52431.35"/>
    <n v="262156.77"/>
    <n v="163624.12"/>
    <n v="98532.65"/>
    <n v="37.590000000000003"/>
  </r>
  <r>
    <s v="TXN00154"/>
    <d v="2024-06-05T00:00:00"/>
    <x v="7"/>
    <x v="0"/>
    <x v="1"/>
    <x v="14"/>
    <x v="1"/>
    <n v="5"/>
    <n v="16242.45"/>
    <n v="81212.23"/>
    <n v="50708.480000000003"/>
    <n v="30503.75"/>
    <n v="37.56"/>
  </r>
  <r>
    <s v="TXN00155"/>
    <d v="2024-09-10T00:00:00"/>
    <x v="4"/>
    <x v="1"/>
    <x v="0"/>
    <x v="12"/>
    <x v="3"/>
    <n v="2"/>
    <n v="32409.72"/>
    <n v="64819.44"/>
    <n v="40542.199999999997"/>
    <n v="24277.25"/>
    <n v="37.450000000000003"/>
  </r>
  <r>
    <s v="TXN00156"/>
    <d v="2024-04-27T00:00:00"/>
    <x v="0"/>
    <x v="0"/>
    <x v="1"/>
    <x v="14"/>
    <x v="0"/>
    <n v="7"/>
    <n v="57696.78"/>
    <n v="403877.49"/>
    <n v="227281.6"/>
    <n v="176595.89"/>
    <n v="43.73"/>
  </r>
  <r>
    <s v="TXN00157"/>
    <d v="2024-07-02T00:00:00"/>
    <x v="2"/>
    <x v="1"/>
    <x v="0"/>
    <x v="22"/>
    <x v="1"/>
    <n v="5"/>
    <n v="16146.26"/>
    <n v="80731.28"/>
    <n v="50233.04"/>
    <n v="30498.240000000002"/>
    <n v="37.78"/>
  </r>
  <r>
    <s v="TXN00158"/>
    <d v="2024-05-09T00:00:00"/>
    <x v="1"/>
    <x v="0"/>
    <x v="1"/>
    <x v="1"/>
    <x v="0"/>
    <n v="3"/>
    <n v="53482.63"/>
    <n v="160447.88"/>
    <n v="99737.27"/>
    <n v="60710.6"/>
    <n v="37.840000000000003"/>
  </r>
  <r>
    <s v="TXN00159"/>
    <d v="2024-10-09T00:00:00"/>
    <x v="11"/>
    <x v="2"/>
    <x v="0"/>
    <x v="22"/>
    <x v="0"/>
    <n v="6"/>
    <n v="58626.76"/>
    <n v="351760.55"/>
    <n v="213989.72"/>
    <n v="137770.82999999999"/>
    <n v="39.17"/>
  </r>
  <r>
    <s v="TXN00160"/>
    <d v="2024-07-18T00:00:00"/>
    <x v="2"/>
    <x v="1"/>
    <x v="3"/>
    <x v="6"/>
    <x v="0"/>
    <n v="4"/>
    <n v="58677.79"/>
    <n v="234711.14"/>
    <n v="132356.34"/>
    <n v="102354.8"/>
    <n v="43.61"/>
  </r>
  <r>
    <s v="TXN00161"/>
    <d v="2024-07-28T00:00:00"/>
    <x v="2"/>
    <x v="1"/>
    <x v="2"/>
    <x v="15"/>
    <x v="0"/>
    <n v="4"/>
    <n v="53894.44"/>
    <n v="215577.77"/>
    <n v="120771.25"/>
    <n v="94806.52"/>
    <n v="43.98"/>
  </r>
  <r>
    <s v="TXN00162"/>
    <d v="2024-11-19T00:00:00"/>
    <x v="5"/>
    <x v="2"/>
    <x v="0"/>
    <x v="22"/>
    <x v="1"/>
    <n v="7"/>
    <n v="15762.7"/>
    <n v="110338.87"/>
    <n v="67045.08"/>
    <n v="43293.79"/>
    <n v="39.24"/>
  </r>
  <r>
    <s v="TXN00163"/>
    <d v="2024-02-20T00:00:00"/>
    <x v="6"/>
    <x v="3"/>
    <x v="0"/>
    <x v="19"/>
    <x v="2"/>
    <n v="1"/>
    <n v="5702.27"/>
    <n v="5702.27"/>
    <n v="3393.33"/>
    <n v="2308.94"/>
    <n v="40.49"/>
  </r>
  <r>
    <s v="TXN00164"/>
    <d v="2024-10-28T00:00:00"/>
    <x v="11"/>
    <x v="2"/>
    <x v="0"/>
    <x v="1"/>
    <x v="3"/>
    <n v="6"/>
    <n v="27794.81"/>
    <n v="166768.88"/>
    <n v="105689.62"/>
    <n v="61079.26"/>
    <n v="36.630000000000003"/>
  </r>
  <r>
    <s v="TXN00165"/>
    <d v="2024-01-01T00:00:00"/>
    <x v="9"/>
    <x v="3"/>
    <x v="1"/>
    <x v="9"/>
    <x v="0"/>
    <n v="7"/>
    <n v="50985.04"/>
    <n v="356895.28"/>
    <n v="198246.82"/>
    <n v="158648.46"/>
    <n v="44.45"/>
  </r>
  <r>
    <s v="TXN00166"/>
    <d v="2024-05-16T00:00:00"/>
    <x v="1"/>
    <x v="0"/>
    <x v="3"/>
    <x v="5"/>
    <x v="1"/>
    <n v="5"/>
    <n v="18018.61"/>
    <n v="90093.04"/>
    <n v="50580.639999999999"/>
    <n v="39512.400000000001"/>
    <n v="43.86"/>
  </r>
  <r>
    <s v="TXN00167"/>
    <d v="2024-08-31T00:00:00"/>
    <x v="8"/>
    <x v="1"/>
    <x v="2"/>
    <x v="17"/>
    <x v="0"/>
    <n v="6"/>
    <n v="50195.19"/>
    <n v="301171.14"/>
    <n v="176093.36"/>
    <n v="125077.78"/>
    <n v="41.53"/>
  </r>
  <r>
    <s v="TXN00168"/>
    <d v="2024-12-12T00:00:00"/>
    <x v="3"/>
    <x v="2"/>
    <x v="2"/>
    <x v="10"/>
    <x v="0"/>
    <n v="3"/>
    <n v="51786.59"/>
    <n v="155359.78"/>
    <n v="87636.23"/>
    <n v="67723.55"/>
    <n v="43.59"/>
  </r>
  <r>
    <s v="TXN00169"/>
    <d v="2024-05-31T00:00:00"/>
    <x v="1"/>
    <x v="0"/>
    <x v="2"/>
    <x v="3"/>
    <x v="2"/>
    <n v="6"/>
    <n v="2135.52"/>
    <n v="12813.1"/>
    <n v="7446.3"/>
    <n v="5366.8"/>
    <n v="41.89"/>
  </r>
  <r>
    <s v="TXN00170"/>
    <d v="2024-10-11T00:00:00"/>
    <x v="11"/>
    <x v="2"/>
    <x v="1"/>
    <x v="2"/>
    <x v="3"/>
    <n v="4"/>
    <n v="28190.21"/>
    <n v="112760.85"/>
    <n v="67827.61"/>
    <n v="44933.24"/>
    <n v="39.85"/>
  </r>
  <r>
    <s v="TXN00171"/>
    <d v="2024-12-02T00:00:00"/>
    <x v="3"/>
    <x v="2"/>
    <x v="0"/>
    <x v="0"/>
    <x v="1"/>
    <n v="4"/>
    <n v="17073.12"/>
    <n v="68292.479999999996"/>
    <n v="38143.74"/>
    <n v="30148.74"/>
    <n v="44.15"/>
  </r>
  <r>
    <s v="TXN00172"/>
    <d v="2024-07-07T00:00:00"/>
    <x v="2"/>
    <x v="1"/>
    <x v="2"/>
    <x v="3"/>
    <x v="1"/>
    <n v="5"/>
    <n v="16986.59"/>
    <n v="84932.95"/>
    <n v="50337.97"/>
    <n v="34594.980000000003"/>
    <n v="40.729999999999997"/>
  </r>
  <r>
    <s v="TXN00173"/>
    <d v="2024-07-29T00:00:00"/>
    <x v="2"/>
    <x v="1"/>
    <x v="1"/>
    <x v="8"/>
    <x v="3"/>
    <n v="5"/>
    <n v="34374.639999999999"/>
    <n v="171873.2"/>
    <n v="101022.36"/>
    <n v="70850.84"/>
    <n v="41.22"/>
  </r>
  <r>
    <s v="TXN00174"/>
    <d v="2024-05-23T00:00:00"/>
    <x v="1"/>
    <x v="0"/>
    <x v="1"/>
    <x v="2"/>
    <x v="1"/>
    <n v="6"/>
    <n v="18570.3"/>
    <n v="111421.78"/>
    <n v="67161.119999999995"/>
    <n v="44260.65"/>
    <n v="39.72"/>
  </r>
  <r>
    <s v="TXN00175"/>
    <d v="2024-04-22T00:00:00"/>
    <x v="0"/>
    <x v="0"/>
    <x v="3"/>
    <x v="6"/>
    <x v="3"/>
    <n v="3"/>
    <n v="27328.6"/>
    <n v="81985.81"/>
    <n v="46583.75"/>
    <n v="35402.06"/>
    <n v="43.18"/>
  </r>
  <r>
    <s v="TXN00176"/>
    <d v="2024-02-24T00:00:00"/>
    <x v="6"/>
    <x v="3"/>
    <x v="1"/>
    <x v="18"/>
    <x v="3"/>
    <n v="2"/>
    <n v="38461.46"/>
    <n v="76922.91"/>
    <n v="46358.2"/>
    <n v="30564.720000000001"/>
    <n v="39.729999999999997"/>
  </r>
  <r>
    <s v="TXN00177"/>
    <d v="2024-03-27T00:00:00"/>
    <x v="10"/>
    <x v="3"/>
    <x v="0"/>
    <x v="13"/>
    <x v="3"/>
    <n v="7"/>
    <n v="34883.86"/>
    <n v="244187.01"/>
    <n v="134964.51"/>
    <n v="109222.51"/>
    <n v="44.73"/>
  </r>
  <r>
    <s v="TXN00178"/>
    <d v="2024-09-03T00:00:00"/>
    <x v="4"/>
    <x v="1"/>
    <x v="1"/>
    <x v="18"/>
    <x v="0"/>
    <n v="3"/>
    <n v="52582.62"/>
    <n v="157747.85"/>
    <n v="96148.09"/>
    <n v="61599.76"/>
    <n v="39.049999999999997"/>
  </r>
  <r>
    <s v="TXN00179"/>
    <d v="2024-09-05T00:00:00"/>
    <x v="4"/>
    <x v="1"/>
    <x v="0"/>
    <x v="21"/>
    <x v="0"/>
    <n v="1"/>
    <n v="53350.82"/>
    <n v="53350.82"/>
    <n v="33188.550000000003"/>
    <n v="20162.27"/>
    <n v="37.79"/>
  </r>
  <r>
    <s v="TXN00180"/>
    <d v="2024-10-17T00:00:00"/>
    <x v="11"/>
    <x v="2"/>
    <x v="1"/>
    <x v="8"/>
    <x v="2"/>
    <n v="6"/>
    <n v="5320.88"/>
    <n v="31925.279999999999"/>
    <n v="18826.919999999998"/>
    <n v="13098.36"/>
    <n v="41.03"/>
  </r>
  <r>
    <s v="TXN00181"/>
    <d v="2024-06-13T00:00:00"/>
    <x v="7"/>
    <x v="0"/>
    <x v="1"/>
    <x v="14"/>
    <x v="3"/>
    <n v="7"/>
    <n v="29859.85"/>
    <n v="209018.96"/>
    <n v="116777.32"/>
    <n v="92241.63"/>
    <n v="44.13"/>
  </r>
  <r>
    <s v="TXN00182"/>
    <d v="2024-11-25T00:00:00"/>
    <x v="5"/>
    <x v="2"/>
    <x v="2"/>
    <x v="3"/>
    <x v="1"/>
    <n v="3"/>
    <n v="15613.88"/>
    <n v="46841.65"/>
    <n v="29868.32"/>
    <n v="16973.34"/>
    <n v="36.24"/>
  </r>
  <r>
    <s v="TXN00183"/>
    <d v="2024-10-11T00:00:00"/>
    <x v="11"/>
    <x v="2"/>
    <x v="0"/>
    <x v="12"/>
    <x v="3"/>
    <n v="1"/>
    <n v="37261.65"/>
    <n v="37261.65"/>
    <n v="21767.58"/>
    <n v="15494.08"/>
    <n v="41.58"/>
  </r>
  <r>
    <s v="TXN00184"/>
    <d v="2024-08-21T00:00:00"/>
    <x v="8"/>
    <x v="1"/>
    <x v="3"/>
    <x v="20"/>
    <x v="0"/>
    <n v="7"/>
    <n v="49020.95"/>
    <n v="343146.68"/>
    <n v="210148.14"/>
    <n v="132998.54"/>
    <n v="38.76"/>
  </r>
  <r>
    <s v="TXN00185"/>
    <d v="2024-09-12T00:00:00"/>
    <x v="4"/>
    <x v="1"/>
    <x v="1"/>
    <x v="14"/>
    <x v="3"/>
    <n v="5"/>
    <n v="29416.99"/>
    <n v="147084.93"/>
    <n v="94847.03"/>
    <n v="52237.9"/>
    <n v="35.520000000000003"/>
  </r>
  <r>
    <s v="TXN00186"/>
    <d v="2024-12-07T00:00:00"/>
    <x v="3"/>
    <x v="2"/>
    <x v="0"/>
    <x v="13"/>
    <x v="1"/>
    <n v="2"/>
    <n v="17828.88"/>
    <n v="35657.769999999997"/>
    <n v="23125.37"/>
    <n v="12532.4"/>
    <n v="35.15"/>
  </r>
  <r>
    <s v="TXN00187"/>
    <d v="2024-08-02T00:00:00"/>
    <x v="8"/>
    <x v="1"/>
    <x v="2"/>
    <x v="17"/>
    <x v="0"/>
    <n v="1"/>
    <n v="49030.16"/>
    <n v="49030.16"/>
    <n v="29622.23"/>
    <n v="19407.93"/>
    <n v="39.58"/>
  </r>
  <r>
    <s v="TXN00188"/>
    <d v="2024-08-24T00:00:00"/>
    <x v="8"/>
    <x v="1"/>
    <x v="2"/>
    <x v="3"/>
    <x v="1"/>
    <n v="6"/>
    <n v="18225.27"/>
    <n v="109351.63"/>
    <n v="64754.79"/>
    <n v="44596.83"/>
    <n v="40.78"/>
  </r>
  <r>
    <s v="TXN00189"/>
    <d v="2024-06-02T00:00:00"/>
    <x v="7"/>
    <x v="0"/>
    <x v="3"/>
    <x v="7"/>
    <x v="1"/>
    <n v="2"/>
    <n v="16361.54"/>
    <n v="32723.07"/>
    <n v="18057.87"/>
    <n v="14665.2"/>
    <n v="44.82"/>
  </r>
  <r>
    <s v="TXN00190"/>
    <d v="2024-05-25T00:00:00"/>
    <x v="1"/>
    <x v="0"/>
    <x v="0"/>
    <x v="19"/>
    <x v="2"/>
    <n v="1"/>
    <n v="3096.22"/>
    <n v="3096.22"/>
    <n v="1874.51"/>
    <n v="1221.71"/>
    <n v="39.46"/>
  </r>
  <r>
    <s v="TXN00191"/>
    <d v="2024-06-01T00:00:00"/>
    <x v="7"/>
    <x v="0"/>
    <x v="1"/>
    <x v="4"/>
    <x v="2"/>
    <n v="7"/>
    <n v="2426.31"/>
    <n v="16984.2"/>
    <n v="9579.1200000000008"/>
    <n v="7405.08"/>
    <n v="43.6"/>
  </r>
  <r>
    <s v="TXN00192"/>
    <d v="2024-01-27T00:00:00"/>
    <x v="9"/>
    <x v="3"/>
    <x v="2"/>
    <x v="3"/>
    <x v="3"/>
    <n v="3"/>
    <n v="33961.199999999997"/>
    <n v="101883.59"/>
    <n v="62154.26"/>
    <n v="39729.33"/>
    <n v="38.99"/>
  </r>
  <r>
    <s v="TXN00193"/>
    <d v="2024-11-04T00:00:00"/>
    <x v="5"/>
    <x v="2"/>
    <x v="3"/>
    <x v="7"/>
    <x v="1"/>
    <n v="2"/>
    <n v="17021.91"/>
    <n v="34043.82"/>
    <n v="21348.57"/>
    <n v="12695.24"/>
    <n v="37.29"/>
  </r>
  <r>
    <s v="TXN00194"/>
    <d v="2024-02-15T00:00:00"/>
    <x v="6"/>
    <x v="3"/>
    <x v="3"/>
    <x v="5"/>
    <x v="3"/>
    <n v="3"/>
    <n v="27765.56"/>
    <n v="83296.69"/>
    <n v="46565.66"/>
    <n v="36731.03"/>
    <n v="44.1"/>
  </r>
  <r>
    <s v="TXN00195"/>
    <d v="2024-10-08T00:00:00"/>
    <x v="11"/>
    <x v="2"/>
    <x v="0"/>
    <x v="1"/>
    <x v="0"/>
    <n v="3"/>
    <n v="50335.09"/>
    <n v="151005.26999999999"/>
    <n v="93910.87"/>
    <n v="57094.400000000001"/>
    <n v="37.81"/>
  </r>
  <r>
    <s v="TXN00196"/>
    <d v="2024-10-21T00:00:00"/>
    <x v="11"/>
    <x v="2"/>
    <x v="1"/>
    <x v="2"/>
    <x v="3"/>
    <n v="7"/>
    <n v="34955.07"/>
    <n v="244685.47"/>
    <n v="157499.87"/>
    <n v="87185.600000000006"/>
    <n v="35.630000000000003"/>
  </r>
  <r>
    <s v="TXN00197"/>
    <d v="2024-03-09T00:00:00"/>
    <x v="10"/>
    <x v="3"/>
    <x v="2"/>
    <x v="17"/>
    <x v="2"/>
    <n v="7"/>
    <n v="3049.06"/>
    <n v="21343.39"/>
    <n v="13008.96"/>
    <n v="8334.43"/>
    <n v="39.049999999999997"/>
  </r>
  <r>
    <s v="TXN00198"/>
    <d v="2024-12-02T00:00:00"/>
    <x v="3"/>
    <x v="2"/>
    <x v="3"/>
    <x v="9"/>
    <x v="1"/>
    <n v="3"/>
    <n v="16671.22"/>
    <n v="50013.66"/>
    <n v="31363.13"/>
    <n v="18650.53"/>
    <n v="37.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9723D6-31E9-4BB2-BD3F-F02C8D84301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L26:N31" firstHeaderRow="0" firstDataRow="1" firstDataCol="1"/>
  <pivotFields count="13">
    <pivotField showAll="0"/>
    <pivotField numFmtId="14" showAll="0"/>
    <pivotField showAll="0">
      <items count="13">
        <item x="9"/>
        <item x="6"/>
        <item x="10"/>
        <item x="0"/>
        <item x="1"/>
        <item x="7"/>
        <item x="2"/>
        <item x="8"/>
        <item x="4"/>
        <item x="11"/>
        <item x="5"/>
        <item x="3"/>
        <item t="default"/>
      </items>
    </pivotField>
    <pivotField showAll="0">
      <items count="5">
        <item x="3"/>
        <item x="0"/>
        <item x="1"/>
        <item x="2"/>
        <item t="default"/>
      </items>
    </pivotField>
    <pivotField showAll="0">
      <items count="8">
        <item m="1" x="5"/>
        <item x="1"/>
        <item x="2"/>
        <item m="1" x="6"/>
        <item x="3"/>
        <item m="1" x="4"/>
        <item x="0"/>
        <item t="default"/>
      </items>
    </pivotField>
    <pivotField showAll="0">
      <items count="24">
        <item x="16"/>
        <item x="22"/>
        <item x="7"/>
        <item x="9"/>
        <item x="2"/>
        <item x="17"/>
        <item x="6"/>
        <item x="15"/>
        <item x="1"/>
        <item x="20"/>
        <item x="19"/>
        <item x="14"/>
        <item x="3"/>
        <item x="5"/>
        <item x="11"/>
        <item x="10"/>
        <item x="0"/>
        <item x="4"/>
        <item x="18"/>
        <item x="12"/>
        <item x="8"/>
        <item x="21"/>
        <item x="13"/>
        <item t="default"/>
      </items>
    </pivotField>
    <pivotField axis="axisRow" showAll="0">
      <items count="5">
        <item x="2"/>
        <item x="0"/>
        <item x="1"/>
        <item x="3"/>
        <item t="default"/>
      </items>
    </pivotField>
    <pivotField showAll="0"/>
    <pivotField numFmtId="8" showAll="0"/>
    <pivotField dataField="1" numFmtId="8" showAll="0"/>
    <pivotField numFmtId="8" showAll="0"/>
    <pivotField dataField="1" numFmtId="8" showAll="0"/>
    <pivotField showAll="0"/>
  </pivotFields>
  <rowFields count="1">
    <field x="6"/>
  </rowFields>
  <rowItems count="5">
    <i>
      <x/>
    </i>
    <i>
      <x v="1"/>
    </i>
    <i>
      <x v="2"/>
    </i>
    <i>
      <x v="3"/>
    </i>
    <i t="grand">
      <x/>
    </i>
  </rowItems>
  <colFields count="1">
    <field x="-2"/>
  </colFields>
  <colItems count="2">
    <i>
      <x/>
    </i>
    <i i="1">
      <x v="1"/>
    </i>
  </colItems>
  <dataFields count="2">
    <dataField name="Sum of Total_Sale" fld="9" baseField="0" baseItem="0" numFmtId="8"/>
    <dataField name="Sum of Profit" fld="11" baseField="0" baseItem="0" numFmtId="8"/>
  </dataFields>
  <formats count="1">
    <format dxfId="0">
      <pivotArea outline="0" collapsedLevelsAreSubtotals="1" fieldPosition="0"/>
    </format>
  </formats>
  <chartFormats count="34">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7" format="2">
      <pivotArea type="data" outline="0" fieldPosition="0">
        <references count="2">
          <reference field="4294967294" count="1" selected="0">
            <x v="1"/>
          </reference>
          <reference field="6" count="1" selected="0">
            <x v="3"/>
          </reference>
        </references>
      </pivotArea>
    </chartFormat>
    <chartFormat chart="37" format="3">
      <pivotArea type="data" outline="0" fieldPosition="0">
        <references count="2">
          <reference field="4294967294" count="1" selected="0">
            <x v="1"/>
          </reference>
          <reference field="6" count="1" selected="0">
            <x v="2"/>
          </reference>
        </references>
      </pivotArea>
    </chartFormat>
    <chartFormat chart="37" format="4">
      <pivotArea type="data" outline="0" fieldPosition="0">
        <references count="2">
          <reference field="4294967294" count="1" selected="0">
            <x v="0"/>
          </reference>
          <reference field="6" count="1" selected="0">
            <x v="2"/>
          </reference>
        </references>
      </pivotArea>
    </chartFormat>
    <chartFormat chart="37" format="5">
      <pivotArea type="data" outline="0" fieldPosition="0">
        <references count="2">
          <reference field="4294967294" count="1" selected="0">
            <x v="1"/>
          </reference>
          <reference field="6" count="1" selected="0">
            <x v="0"/>
          </reference>
        </references>
      </pivotArea>
    </chartFormat>
    <chartFormat chart="37" format="6">
      <pivotArea type="data" outline="0" fieldPosition="0">
        <references count="2">
          <reference field="4294967294" count="1" selected="0">
            <x v="1"/>
          </reference>
          <reference field="6" count="1" selected="0">
            <x v="1"/>
          </reference>
        </references>
      </pivotArea>
    </chartFormat>
    <chartFormat chart="37" format="7">
      <pivotArea type="data" outline="0" fieldPosition="0">
        <references count="2">
          <reference field="4294967294" count="1" selected="0">
            <x v="0"/>
          </reference>
          <reference field="6" count="1" selected="0">
            <x v="0"/>
          </reference>
        </references>
      </pivotArea>
    </chartFormat>
    <chartFormat chart="40" format="8" series="1">
      <pivotArea type="data" outline="0" fieldPosition="0">
        <references count="1">
          <reference field="4294967294" count="1" selected="0">
            <x v="0"/>
          </reference>
        </references>
      </pivotArea>
    </chartFormat>
    <chartFormat chart="40" format="9">
      <pivotArea type="data" outline="0" fieldPosition="0">
        <references count="2">
          <reference field="4294967294" count="1" selected="0">
            <x v="0"/>
          </reference>
          <reference field="6" count="1" selected="0">
            <x v="0"/>
          </reference>
        </references>
      </pivotArea>
    </chartFormat>
    <chartFormat chart="40" format="10">
      <pivotArea type="data" outline="0" fieldPosition="0">
        <references count="2">
          <reference field="4294967294" count="1" selected="0">
            <x v="0"/>
          </reference>
          <reference field="6" count="1" selected="0">
            <x v="2"/>
          </reference>
        </references>
      </pivotArea>
    </chartFormat>
    <chartFormat chart="40" format="11" series="1">
      <pivotArea type="data" outline="0" fieldPosition="0">
        <references count="1">
          <reference field="4294967294" count="1" selected="0">
            <x v="1"/>
          </reference>
        </references>
      </pivotArea>
    </chartFormat>
    <chartFormat chart="40" format="12">
      <pivotArea type="data" outline="0" fieldPosition="0">
        <references count="2">
          <reference field="4294967294" count="1" selected="0">
            <x v="1"/>
          </reference>
          <reference field="6" count="1" selected="0">
            <x v="0"/>
          </reference>
        </references>
      </pivotArea>
    </chartFormat>
    <chartFormat chart="40" format="13">
      <pivotArea type="data" outline="0" fieldPosition="0">
        <references count="2">
          <reference field="4294967294" count="1" selected="0">
            <x v="1"/>
          </reference>
          <reference field="6" count="1" selected="0">
            <x v="1"/>
          </reference>
        </references>
      </pivotArea>
    </chartFormat>
    <chartFormat chart="40" format="14">
      <pivotArea type="data" outline="0" fieldPosition="0">
        <references count="2">
          <reference field="4294967294" count="1" selected="0">
            <x v="1"/>
          </reference>
          <reference field="6" count="1" selected="0">
            <x v="2"/>
          </reference>
        </references>
      </pivotArea>
    </chartFormat>
    <chartFormat chart="40" format="15">
      <pivotArea type="data" outline="0" fieldPosition="0">
        <references count="2">
          <reference field="4294967294" count="1" selected="0">
            <x v="1"/>
          </reference>
          <reference field="6" count="1" selected="0">
            <x v="3"/>
          </reference>
        </references>
      </pivotArea>
    </chartFormat>
    <chartFormat chart="41" format="16" series="1">
      <pivotArea type="data" outline="0" fieldPosition="0">
        <references count="1">
          <reference field="4294967294" count="1" selected="0">
            <x v="0"/>
          </reference>
        </references>
      </pivotArea>
    </chartFormat>
    <chartFormat chart="41" format="17">
      <pivotArea type="data" outline="0" fieldPosition="0">
        <references count="2">
          <reference field="4294967294" count="1" selected="0">
            <x v="0"/>
          </reference>
          <reference field="6" count="1" selected="0">
            <x v="0"/>
          </reference>
        </references>
      </pivotArea>
    </chartFormat>
    <chartFormat chart="41" format="18">
      <pivotArea type="data" outline="0" fieldPosition="0">
        <references count="2">
          <reference field="4294967294" count="1" selected="0">
            <x v="0"/>
          </reference>
          <reference field="6" count="1" selected="0">
            <x v="2"/>
          </reference>
        </references>
      </pivotArea>
    </chartFormat>
    <chartFormat chart="41" format="19" series="1">
      <pivotArea type="data" outline="0" fieldPosition="0">
        <references count="1">
          <reference field="4294967294" count="1" selected="0">
            <x v="1"/>
          </reference>
        </references>
      </pivotArea>
    </chartFormat>
    <chartFormat chart="41" format="20">
      <pivotArea type="data" outline="0" fieldPosition="0">
        <references count="2">
          <reference field="4294967294" count="1" selected="0">
            <x v="1"/>
          </reference>
          <reference field="6" count="1" selected="0">
            <x v="0"/>
          </reference>
        </references>
      </pivotArea>
    </chartFormat>
    <chartFormat chart="41" format="21">
      <pivotArea type="data" outline="0" fieldPosition="0">
        <references count="2">
          <reference field="4294967294" count="1" selected="0">
            <x v="1"/>
          </reference>
          <reference field="6" count="1" selected="0">
            <x v="1"/>
          </reference>
        </references>
      </pivotArea>
    </chartFormat>
    <chartFormat chart="41" format="22">
      <pivotArea type="data" outline="0" fieldPosition="0">
        <references count="2">
          <reference field="4294967294" count="1" selected="0">
            <x v="1"/>
          </reference>
          <reference field="6" count="1" selected="0">
            <x v="2"/>
          </reference>
        </references>
      </pivotArea>
    </chartFormat>
    <chartFormat chart="41" format="23">
      <pivotArea type="data" outline="0" fieldPosition="0">
        <references count="2">
          <reference field="4294967294" count="1" selected="0">
            <x v="1"/>
          </reference>
          <reference field="6" count="1" selected="0">
            <x v="3"/>
          </reference>
        </references>
      </pivotArea>
    </chartFormat>
    <chartFormat chart="42" format="16" series="1">
      <pivotArea type="data" outline="0" fieldPosition="0">
        <references count="1">
          <reference field="4294967294" count="1" selected="0">
            <x v="0"/>
          </reference>
        </references>
      </pivotArea>
    </chartFormat>
    <chartFormat chart="42" format="17">
      <pivotArea type="data" outline="0" fieldPosition="0">
        <references count="2">
          <reference field="4294967294" count="1" selected="0">
            <x v="0"/>
          </reference>
          <reference field="6" count="1" selected="0">
            <x v="0"/>
          </reference>
        </references>
      </pivotArea>
    </chartFormat>
    <chartFormat chart="42" format="18">
      <pivotArea type="data" outline="0" fieldPosition="0">
        <references count="2">
          <reference field="4294967294" count="1" selected="0">
            <x v="0"/>
          </reference>
          <reference field="6" count="1" selected="0">
            <x v="2"/>
          </reference>
        </references>
      </pivotArea>
    </chartFormat>
    <chartFormat chart="42" format="19" series="1">
      <pivotArea type="data" outline="0" fieldPosition="0">
        <references count="1">
          <reference field="4294967294" count="1" selected="0">
            <x v="1"/>
          </reference>
        </references>
      </pivotArea>
    </chartFormat>
    <chartFormat chart="42" format="20">
      <pivotArea type="data" outline="0" fieldPosition="0">
        <references count="2">
          <reference field="4294967294" count="1" selected="0">
            <x v="1"/>
          </reference>
          <reference field="6" count="1" selected="0">
            <x v="0"/>
          </reference>
        </references>
      </pivotArea>
    </chartFormat>
    <chartFormat chart="42" format="21">
      <pivotArea type="data" outline="0" fieldPosition="0">
        <references count="2">
          <reference field="4294967294" count="1" selected="0">
            <x v="1"/>
          </reference>
          <reference field="6" count="1" selected="0">
            <x v="1"/>
          </reference>
        </references>
      </pivotArea>
    </chartFormat>
    <chartFormat chart="42" format="22">
      <pivotArea type="data" outline="0" fieldPosition="0">
        <references count="2">
          <reference field="4294967294" count="1" selected="0">
            <x v="1"/>
          </reference>
          <reference field="6" count="1" selected="0">
            <x v="2"/>
          </reference>
        </references>
      </pivotArea>
    </chartFormat>
    <chartFormat chart="42" format="23">
      <pivotArea type="data" outline="0" fieldPosition="0">
        <references count="2">
          <reference field="4294967294" count="1" selected="0">
            <x v="1"/>
          </reference>
          <reference field="6" count="1" selected="0">
            <x v="3"/>
          </reference>
        </references>
      </pivotArea>
    </chartFormat>
    <chartFormat chart="42" format="24">
      <pivotArea type="data" outline="0" fieldPosition="0">
        <references count="2">
          <reference field="4294967294" count="1" selected="0">
            <x v="0"/>
          </reference>
          <reference field="6" count="1" selected="0">
            <x v="1"/>
          </reference>
        </references>
      </pivotArea>
    </chartFormat>
    <chartFormat chart="42" format="2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1E5DE6-3D2E-4E2C-8CD8-6747E6E705E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6:J11" firstHeaderRow="1" firstDataRow="1" firstDataCol="1"/>
  <pivotFields count="13">
    <pivotField showAll="0"/>
    <pivotField numFmtId="14" showAll="0"/>
    <pivotField showAll="0">
      <items count="13">
        <item x="9"/>
        <item x="6"/>
        <item x="10"/>
        <item x="0"/>
        <item x="1"/>
        <item x="7"/>
        <item x="2"/>
        <item x="8"/>
        <item x="4"/>
        <item x="11"/>
        <item x="5"/>
        <item x="3"/>
        <item t="default"/>
      </items>
    </pivotField>
    <pivotField showAll="0">
      <items count="5">
        <item x="3"/>
        <item x="0"/>
        <item x="1"/>
        <item x="2"/>
        <item t="default"/>
      </items>
    </pivotField>
    <pivotField axis="axisRow" showAll="0">
      <items count="8">
        <item m="1" x="5"/>
        <item x="1"/>
        <item x="2"/>
        <item m="1" x="6"/>
        <item x="3"/>
        <item x="0"/>
        <item m="1" x="4"/>
        <item t="default"/>
      </items>
    </pivotField>
    <pivotField showAll="0">
      <items count="24">
        <item x="16"/>
        <item x="22"/>
        <item x="7"/>
        <item x="9"/>
        <item x="2"/>
        <item x="17"/>
        <item x="6"/>
        <item x="15"/>
        <item x="1"/>
        <item x="20"/>
        <item x="19"/>
        <item x="14"/>
        <item x="3"/>
        <item x="5"/>
        <item x="11"/>
        <item x="10"/>
        <item x="0"/>
        <item x="4"/>
        <item x="18"/>
        <item x="12"/>
        <item x="8"/>
        <item x="21"/>
        <item x="13"/>
        <item t="default"/>
      </items>
    </pivotField>
    <pivotField showAll="0">
      <items count="5">
        <item x="2"/>
        <item x="0"/>
        <item x="1"/>
        <item x="3"/>
        <item t="default"/>
      </items>
    </pivotField>
    <pivotField showAll="0"/>
    <pivotField numFmtId="8" showAll="0"/>
    <pivotField dataField="1" numFmtId="8" showAll="0"/>
    <pivotField numFmtId="8" showAll="0"/>
    <pivotField numFmtId="8" showAll="0"/>
    <pivotField showAll="0"/>
  </pivotFields>
  <rowFields count="1">
    <field x="4"/>
  </rowFields>
  <rowItems count="5">
    <i>
      <x v="1"/>
    </i>
    <i>
      <x v="2"/>
    </i>
    <i>
      <x v="4"/>
    </i>
    <i>
      <x v="5"/>
    </i>
    <i t="grand">
      <x/>
    </i>
  </rowItems>
  <colItems count="1">
    <i/>
  </colItems>
  <dataFields count="1">
    <dataField name="Sum of Total_Sale" fld="9" baseField="0" baseItem="0" numFmtId="8"/>
  </dataFields>
  <formats count="1">
    <format dxfId="1">
      <pivotArea outline="0" collapsedLevelsAreSubtotals="1" fieldPosition="0"/>
    </format>
  </formats>
  <chartFormats count="14">
    <chartFormat chart="4"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4" count="1" selected="0">
            <x v="0"/>
          </reference>
        </references>
      </pivotArea>
    </chartFormat>
    <chartFormat chart="11" format="10">
      <pivotArea type="data" outline="0" fieldPosition="0">
        <references count="2">
          <reference field="4294967294" count="1" selected="0">
            <x v="0"/>
          </reference>
          <reference field="4" count="1" selected="0">
            <x v="1"/>
          </reference>
        </references>
      </pivotArea>
    </chartFormat>
    <chartFormat chart="11" format="11">
      <pivotArea type="data" outline="0" fieldPosition="0">
        <references count="2">
          <reference field="4294967294" count="1" selected="0">
            <x v="0"/>
          </reference>
          <reference field="4" count="1" selected="0">
            <x v="2"/>
          </reference>
        </references>
      </pivotArea>
    </chartFormat>
    <chartFormat chart="11" format="12">
      <pivotArea type="data" outline="0" fieldPosition="0">
        <references count="2">
          <reference field="4294967294" count="1" selected="0">
            <x v="0"/>
          </reference>
          <reference field="4" count="1" selected="0">
            <x v="3"/>
          </reference>
        </references>
      </pivotArea>
    </chartFormat>
    <chartFormat chart="11" format="13">
      <pivotArea type="data" outline="0" fieldPosition="0">
        <references count="2">
          <reference field="4294967294" count="1" selected="0">
            <x v="0"/>
          </reference>
          <reference field="4" count="1" selected="0">
            <x v="4"/>
          </reference>
        </references>
      </pivotArea>
    </chartFormat>
    <chartFormat chart="11" format="14">
      <pivotArea type="data" outline="0" fieldPosition="0">
        <references count="2">
          <reference field="4294967294" count="1" selected="0">
            <x v="0"/>
          </reference>
          <reference field="4" count="1" selected="0">
            <x v="5"/>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3"/>
          </reference>
        </references>
      </pivotArea>
    </chartFormat>
    <chartFormat chart="4" format="5">
      <pivotArea type="data" outline="0" fieldPosition="0">
        <references count="2">
          <reference field="4294967294" count="1" selected="0">
            <x v="0"/>
          </reference>
          <reference field="4" count="1" selected="0">
            <x v="4"/>
          </reference>
        </references>
      </pivotArea>
    </chartFormat>
    <chartFormat chart="4"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23FD11-BF5D-44A7-9EEF-81EC45557F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8:F43" firstHeaderRow="1" firstDataRow="1" firstDataCol="1"/>
  <pivotFields count="13">
    <pivotField showAll="0"/>
    <pivotField numFmtId="14" showAll="0"/>
    <pivotField showAll="0">
      <items count="13">
        <item x="9"/>
        <item x="6"/>
        <item x="10"/>
        <item x="0"/>
        <item x="1"/>
        <item x="7"/>
        <item x="2"/>
        <item x="8"/>
        <item x="4"/>
        <item x="11"/>
        <item x="5"/>
        <item x="3"/>
        <item t="default"/>
      </items>
    </pivotField>
    <pivotField axis="axisRow" showAll="0">
      <items count="5">
        <item x="3"/>
        <item x="0"/>
        <item x="1"/>
        <item x="2"/>
        <item t="default"/>
      </items>
    </pivotField>
    <pivotField showAll="0">
      <items count="8">
        <item m="1" x="5"/>
        <item x="1"/>
        <item x="2"/>
        <item m="1" x="6"/>
        <item x="3"/>
        <item m="1" x="4"/>
        <item x="0"/>
        <item t="default"/>
      </items>
    </pivotField>
    <pivotField showAll="0">
      <items count="24">
        <item x="16"/>
        <item x="22"/>
        <item x="7"/>
        <item x="9"/>
        <item x="2"/>
        <item x="17"/>
        <item x="6"/>
        <item x="15"/>
        <item x="1"/>
        <item x="20"/>
        <item x="19"/>
        <item x="14"/>
        <item x="3"/>
        <item x="5"/>
        <item x="11"/>
        <item x="10"/>
        <item x="0"/>
        <item x="4"/>
        <item x="18"/>
        <item x="12"/>
        <item x="8"/>
        <item x="21"/>
        <item x="13"/>
        <item t="default"/>
      </items>
    </pivotField>
    <pivotField showAll="0">
      <items count="5">
        <item x="2"/>
        <item x="0"/>
        <item x="1"/>
        <item x="3"/>
        <item t="default"/>
      </items>
    </pivotField>
    <pivotField showAll="0"/>
    <pivotField numFmtId="8" showAll="0"/>
    <pivotField dataField="1" numFmtId="8" showAll="0"/>
    <pivotField numFmtId="8" showAll="0"/>
    <pivotField numFmtId="8" showAll="0"/>
    <pivotField showAll="0"/>
  </pivotFields>
  <rowFields count="1">
    <field x="3"/>
  </rowFields>
  <rowItems count="5">
    <i>
      <x/>
    </i>
    <i>
      <x v="1"/>
    </i>
    <i>
      <x v="2"/>
    </i>
    <i>
      <x v="3"/>
    </i>
    <i t="grand">
      <x/>
    </i>
  </rowItems>
  <colItems count="1">
    <i/>
  </colItems>
  <dataFields count="1">
    <dataField name="Sum of Sale" fld="9" baseField="0" baseItem="1" numFmtId="8"/>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A5F775-2A87-4323-A727-0C4858BECC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5" firstHeaderRow="0" firstDataRow="1" firstDataCol="0"/>
  <pivotFields count="13">
    <pivotField showAll="0"/>
    <pivotField numFmtId="14" showAll="0"/>
    <pivotField showAll="0">
      <items count="13">
        <item x="9"/>
        <item x="6"/>
        <item x="10"/>
        <item x="0"/>
        <item x="1"/>
        <item x="7"/>
        <item x="2"/>
        <item x="8"/>
        <item x="4"/>
        <item x="11"/>
        <item x="5"/>
        <item x="3"/>
        <item t="default"/>
      </items>
    </pivotField>
    <pivotField showAll="0">
      <items count="5">
        <item x="3"/>
        <item x="0"/>
        <item x="1"/>
        <item x="2"/>
        <item t="default"/>
      </items>
    </pivotField>
    <pivotField showAll="0">
      <items count="8">
        <item m="1" x="5"/>
        <item x="1"/>
        <item x="2"/>
        <item m="1" x="6"/>
        <item x="3"/>
        <item m="1" x="4"/>
        <item x="0"/>
        <item t="default"/>
      </items>
    </pivotField>
    <pivotField showAll="0">
      <items count="24">
        <item x="16"/>
        <item x="22"/>
        <item x="7"/>
        <item x="9"/>
        <item x="2"/>
        <item x="17"/>
        <item x="6"/>
        <item x="15"/>
        <item x="1"/>
        <item x="20"/>
        <item x="19"/>
        <item x="14"/>
        <item x="3"/>
        <item x="5"/>
        <item x="11"/>
        <item x="10"/>
        <item x="0"/>
        <item x="4"/>
        <item x="18"/>
        <item x="12"/>
        <item x="8"/>
        <item x="21"/>
        <item x="13"/>
        <item t="default"/>
      </items>
    </pivotField>
    <pivotField showAll="0">
      <items count="5">
        <item x="2"/>
        <item x="0"/>
        <item x="1"/>
        <item x="3"/>
        <item t="default"/>
      </items>
    </pivotField>
    <pivotField showAll="0"/>
    <pivotField numFmtId="8" showAll="0"/>
    <pivotField dataField="1" numFmtId="8" showAll="0"/>
    <pivotField numFmtId="8" showAll="0"/>
    <pivotField dataField="1" numFmtId="8" showAll="0"/>
    <pivotField showAll="0"/>
  </pivotFields>
  <rowItems count="1">
    <i/>
  </rowItems>
  <colFields count="1">
    <field x="-2"/>
  </colFields>
  <colItems count="2">
    <i>
      <x/>
    </i>
    <i i="1">
      <x v="1"/>
    </i>
  </colItems>
  <dataFields count="2">
    <dataField name="Average of Profit" fld="11" subtotal="average" baseField="0" baseItem="0" numFmtId="8"/>
    <dataField name="Average of Total_Sale" fld="9" subtotal="average" baseField="0" baseItem="1"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E9908C-A01D-47FC-BA79-68A2D2DB06F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M10:O23" firstHeaderRow="0" firstDataRow="1" firstDataCol="1"/>
  <pivotFields count="13">
    <pivotField showAll="0"/>
    <pivotField numFmtId="14" showAll="0"/>
    <pivotField axis="axisRow" showAll="0">
      <items count="13">
        <item x="9"/>
        <item x="6"/>
        <item x="10"/>
        <item x="0"/>
        <item x="1"/>
        <item x="7"/>
        <item x="2"/>
        <item x="8"/>
        <item x="4"/>
        <item x="11"/>
        <item x="5"/>
        <item x="3"/>
        <item t="default"/>
      </items>
    </pivotField>
    <pivotField showAll="0">
      <items count="5">
        <item x="3"/>
        <item x="0"/>
        <item x="1"/>
        <item x="2"/>
        <item t="default"/>
      </items>
    </pivotField>
    <pivotField showAll="0">
      <items count="8">
        <item m="1" x="5"/>
        <item x="1"/>
        <item x="2"/>
        <item m="1" x="6"/>
        <item x="3"/>
        <item m="1" x="4"/>
        <item x="0"/>
        <item t="default"/>
      </items>
    </pivotField>
    <pivotField showAll="0">
      <items count="24">
        <item x="16"/>
        <item x="22"/>
        <item x="7"/>
        <item x="9"/>
        <item x="2"/>
        <item x="17"/>
        <item x="6"/>
        <item x="15"/>
        <item x="1"/>
        <item x="20"/>
        <item x="19"/>
        <item x="14"/>
        <item x="3"/>
        <item x="5"/>
        <item x="11"/>
        <item x="10"/>
        <item x="0"/>
        <item x="4"/>
        <item x="18"/>
        <item x="12"/>
        <item x="8"/>
        <item x="21"/>
        <item x="13"/>
        <item t="default"/>
      </items>
    </pivotField>
    <pivotField showAll="0">
      <items count="5">
        <item x="2"/>
        <item x="0"/>
        <item x="1"/>
        <item x="3"/>
        <item t="default"/>
      </items>
    </pivotField>
    <pivotField showAll="0"/>
    <pivotField numFmtId="8" showAll="0"/>
    <pivotField dataField="1" numFmtId="8" showAll="0"/>
    <pivotField numFmtId="8" showAll="0"/>
    <pivotField dataField="1" numFmtId="8" showAll="0"/>
    <pivotField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1" baseField="0" baseItem="0" numFmtId="8"/>
    <dataField name="Sum of Total_Sale" fld="9" baseField="0" baseItem="0" numFmtId="8"/>
  </dataFields>
  <formats count="1">
    <format dxfId="3">
      <pivotArea outline="0" collapsedLevelsAreSubtotals="1" fieldPosition="0"/>
    </format>
  </formats>
  <chartFormats count="9">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7"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 chart="29" format="6">
      <pivotArea type="data" outline="0" fieldPosition="0">
        <references count="2">
          <reference field="4294967294" count="1" selected="0">
            <x v="1"/>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39FC6C-19D1-416C-AF30-5659DE3385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5" firstHeaderRow="0" firstDataRow="1" firstDataCol="0"/>
  <pivotFields count="13">
    <pivotField showAll="0"/>
    <pivotField numFmtId="14" showAll="0"/>
    <pivotField showAll="0">
      <items count="13">
        <item x="9"/>
        <item x="6"/>
        <item x="10"/>
        <item x="0"/>
        <item x="1"/>
        <item x="7"/>
        <item x="2"/>
        <item x="8"/>
        <item x="4"/>
        <item x="11"/>
        <item x="5"/>
        <item x="3"/>
        <item t="default"/>
      </items>
    </pivotField>
    <pivotField showAll="0">
      <items count="5">
        <item x="3"/>
        <item x="0"/>
        <item x="1"/>
        <item x="2"/>
        <item t="default"/>
      </items>
    </pivotField>
    <pivotField showAll="0">
      <items count="8">
        <item m="1" x="5"/>
        <item x="1"/>
        <item x="2"/>
        <item m="1" x="6"/>
        <item x="3"/>
        <item m="1" x="4"/>
        <item x="0"/>
        <item t="default"/>
      </items>
    </pivotField>
    <pivotField showAll="0">
      <items count="24">
        <item x="16"/>
        <item x="22"/>
        <item x="7"/>
        <item x="9"/>
        <item x="2"/>
        <item x="17"/>
        <item x="6"/>
        <item x="15"/>
        <item x="1"/>
        <item x="20"/>
        <item x="19"/>
        <item x="14"/>
        <item x="3"/>
        <item x="5"/>
        <item x="11"/>
        <item x="10"/>
        <item x="0"/>
        <item x="4"/>
        <item x="18"/>
        <item x="12"/>
        <item x="8"/>
        <item x="21"/>
        <item x="13"/>
        <item t="default"/>
      </items>
    </pivotField>
    <pivotField showAll="0">
      <items count="5">
        <item x="2"/>
        <item x="0"/>
        <item x="1"/>
        <item x="3"/>
        <item t="default"/>
      </items>
    </pivotField>
    <pivotField showAll="0"/>
    <pivotField numFmtId="8" showAll="0"/>
    <pivotField dataField="1" numFmtId="8" showAll="0"/>
    <pivotField numFmtId="8" showAll="0"/>
    <pivotField dataField="1" numFmtId="8" showAll="0"/>
    <pivotField showAll="0"/>
  </pivotFields>
  <rowItems count="1">
    <i/>
  </rowItems>
  <colFields count="1">
    <field x="-2"/>
  </colFields>
  <colItems count="2">
    <i>
      <x/>
    </i>
    <i i="1">
      <x v="1"/>
    </i>
  </colItems>
  <dataFields count="2">
    <dataField name="Sum of Sale" fld="9" baseField="0" baseItem="1" numFmtId="8"/>
    <dataField name="Sum of Profit" fld="11" baseField="0" baseItem="0" numFmtId="8"/>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5CAD40-DECA-41B2-B9B0-D4948E0C3D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13">
    <pivotField showAll="0"/>
    <pivotField numFmtId="14" showAll="0"/>
    <pivotField axis="axisRow" showAll="0">
      <items count="13">
        <item x="9"/>
        <item x="6"/>
        <item x="10"/>
        <item x="0"/>
        <item x="1"/>
        <item x="7"/>
        <item x="2"/>
        <item x="8"/>
        <item x="4"/>
        <item x="11"/>
        <item x="5"/>
        <item x="3"/>
        <item t="default"/>
      </items>
    </pivotField>
    <pivotField showAll="0">
      <items count="5">
        <item x="3"/>
        <item x="0"/>
        <item x="1"/>
        <item x="2"/>
        <item t="default"/>
      </items>
    </pivotField>
    <pivotField showAll="0">
      <items count="8">
        <item m="1" x="5"/>
        <item x="1"/>
        <item x="2"/>
        <item m="1" x="6"/>
        <item x="3"/>
        <item m="1" x="4"/>
        <item x="0"/>
        <item t="default"/>
      </items>
    </pivotField>
    <pivotField showAll="0">
      <items count="24">
        <item x="16"/>
        <item x="22"/>
        <item x="7"/>
        <item x="9"/>
        <item x="2"/>
        <item x="17"/>
        <item x="6"/>
        <item x="15"/>
        <item x="1"/>
        <item x="20"/>
        <item x="19"/>
        <item x="14"/>
        <item x="3"/>
        <item x="5"/>
        <item x="11"/>
        <item x="10"/>
        <item x="0"/>
        <item x="4"/>
        <item x="18"/>
        <item x="12"/>
        <item x="8"/>
        <item x="21"/>
        <item x="13"/>
        <item t="default"/>
      </items>
    </pivotField>
    <pivotField showAll="0">
      <items count="5">
        <item x="2"/>
        <item x="0"/>
        <item x="1"/>
        <item x="3"/>
        <item t="default"/>
      </items>
    </pivotField>
    <pivotField showAll="0"/>
    <pivotField numFmtId="8" showAll="0"/>
    <pivotField dataField="1" numFmtId="8" showAll="0"/>
    <pivotField numFmtId="8" showAll="0"/>
    <pivotField dataField="1" numFmtId="8" showAll="0"/>
    <pivotField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 fld="9" baseField="0" baseItem="0" numFmtId="8"/>
    <dataField name="Sum of Profit" fld="11" baseField="0" baseItem="0" numFmtId="8"/>
  </dataFields>
  <formats count="1">
    <format dxfId="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BF8004-8574-408B-A2D1-3E3CE422D69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M3:N8" firstHeaderRow="1" firstDataRow="1" firstDataCol="1"/>
  <pivotFields count="13">
    <pivotField showAll="0"/>
    <pivotField numFmtId="14" showAll="0"/>
    <pivotField showAll="0">
      <items count="13">
        <item x="9"/>
        <item x="6"/>
        <item x="10"/>
        <item x="0"/>
        <item x="1"/>
        <item x="7"/>
        <item x="2"/>
        <item x="8"/>
        <item x="4"/>
        <item x="11"/>
        <item x="5"/>
        <item x="3"/>
        <item t="default"/>
      </items>
    </pivotField>
    <pivotField showAll="0">
      <items count="5">
        <item x="3"/>
        <item x="0"/>
        <item x="1"/>
        <item x="2"/>
        <item t="default"/>
      </items>
    </pivotField>
    <pivotField showAll="0">
      <items count="8">
        <item m="1" x="5"/>
        <item x="1"/>
        <item x="2"/>
        <item m="1" x="6"/>
        <item x="3"/>
        <item m="1" x="4"/>
        <item x="0"/>
        <item t="default"/>
      </items>
    </pivotField>
    <pivotField showAll="0">
      <items count="24">
        <item x="16"/>
        <item x="22"/>
        <item x="7"/>
        <item x="9"/>
        <item x="2"/>
        <item x="17"/>
        <item x="6"/>
        <item x="15"/>
        <item x="1"/>
        <item x="20"/>
        <item x="19"/>
        <item x="14"/>
        <item x="3"/>
        <item x="5"/>
        <item x="11"/>
        <item x="10"/>
        <item x="0"/>
        <item x="4"/>
        <item x="18"/>
        <item x="12"/>
        <item x="8"/>
        <item x="21"/>
        <item x="13"/>
        <item t="default"/>
      </items>
    </pivotField>
    <pivotField axis="axisRow" showAll="0">
      <items count="5">
        <item x="2"/>
        <item x="0"/>
        <item x="1"/>
        <item x="3"/>
        <item t="default"/>
      </items>
    </pivotField>
    <pivotField showAll="0"/>
    <pivotField numFmtId="8" showAll="0"/>
    <pivotField numFmtId="8" showAll="0"/>
    <pivotField numFmtId="8" showAll="0"/>
    <pivotField dataField="1" numFmtId="8" showAll="0"/>
    <pivotField showAll="0"/>
  </pivotFields>
  <rowFields count="1">
    <field x="6"/>
  </rowFields>
  <rowItems count="5">
    <i>
      <x/>
    </i>
    <i>
      <x v="1"/>
    </i>
    <i>
      <x v="2"/>
    </i>
    <i>
      <x v="3"/>
    </i>
    <i t="grand">
      <x/>
    </i>
  </rowItems>
  <colItems count="1">
    <i/>
  </colItems>
  <dataFields count="1">
    <dataField name="Sum of Profit" fld="11" baseField="0" baseItem="0" numFmtId="6"/>
  </dataFields>
  <formats count="1">
    <format dxfId="6">
      <pivotArea outline="0" collapsedLevelsAreSubtotals="1" fieldPosition="0"/>
    </format>
  </format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6" count="1" selected="0">
            <x v="0"/>
          </reference>
        </references>
      </pivotArea>
    </chartFormat>
    <chartFormat chart="7" format="2">
      <pivotArea type="data" outline="0" fieldPosition="0">
        <references count="2">
          <reference field="4294967294" count="1" selected="0">
            <x v="0"/>
          </reference>
          <reference field="6" count="1" selected="0">
            <x v="1"/>
          </reference>
        </references>
      </pivotArea>
    </chartFormat>
    <chartFormat chart="7" format="3">
      <pivotArea type="data" outline="0" fieldPosition="0">
        <references count="2">
          <reference field="4294967294" count="1" selected="0">
            <x v="0"/>
          </reference>
          <reference field="6" count="1" selected="0">
            <x v="2"/>
          </reference>
        </references>
      </pivotArea>
    </chartFormat>
    <chartFormat chart="7" format="4">
      <pivotArea type="data" outline="0" fieldPosition="0">
        <references count="2">
          <reference field="4294967294" count="1" selected="0">
            <x v="0"/>
          </reference>
          <reference field="6" count="1" selected="0">
            <x v="3"/>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6" count="1" selected="0">
            <x v="0"/>
          </reference>
        </references>
      </pivotArea>
    </chartFormat>
    <chartFormat chart="20" format="12">
      <pivotArea type="data" outline="0" fieldPosition="0">
        <references count="2">
          <reference field="4294967294" count="1" selected="0">
            <x v="0"/>
          </reference>
          <reference field="6" count="1" selected="0">
            <x v="1"/>
          </reference>
        </references>
      </pivotArea>
    </chartFormat>
    <chartFormat chart="20" format="13">
      <pivotArea type="data" outline="0" fieldPosition="0">
        <references count="2">
          <reference field="4294967294" count="1" selected="0">
            <x v="0"/>
          </reference>
          <reference field="6" count="1" selected="0">
            <x v="2"/>
          </reference>
        </references>
      </pivotArea>
    </chartFormat>
    <chartFormat chart="20"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9835BC00-421C-434D-8759-F0D365B2738C}" sourceName="Quarter">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5"/>
  </pivotTables>
  <data>
    <tabular pivotCacheId="130169205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CFB65C2-4148-417D-876D-C0D585797A5D}" sourceName="Region">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5"/>
  </pivotTables>
  <data>
    <tabular pivotCacheId="1301692055">
      <items count="7">
        <i x="1" s="1"/>
        <i x="2" s="1"/>
        <i x="3" s="1"/>
        <i x="0" s="1"/>
        <i x="5" s="1" nd="1"/>
        <i x="6" s="1" nd="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E2FFBFC2-51F1-4633-89EF-C2205F21ACAA}" sourceName="City">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5"/>
  </pivotTables>
  <data>
    <tabular pivotCacheId="1301692055">
      <items count="23">
        <i x="16" s="1"/>
        <i x="22" s="1"/>
        <i x="7" s="1"/>
        <i x="9" s="1"/>
        <i x="2" s="1"/>
        <i x="17" s="1"/>
        <i x="6" s="1"/>
        <i x="15" s="1"/>
        <i x="1" s="1"/>
        <i x="20" s="1"/>
        <i x="19" s="1"/>
        <i x="14" s="1"/>
        <i x="3" s="1"/>
        <i x="5" s="1"/>
        <i x="11" s="1"/>
        <i x="10" s="1"/>
        <i x="0" s="1"/>
        <i x="4" s="1"/>
        <i x="18" s="1"/>
        <i x="12" s="1"/>
        <i x="8" s="1"/>
        <i x="21"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0C9A504-FC09-46EA-ABF3-92A7F7395075}" sourceName="Product">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5"/>
  </pivotTables>
  <data>
    <tabular pivotCacheId="1301692055">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AD8657FE-65B1-4E17-B33C-52EE84F5EC9E}" sourceName="Months">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5"/>
  </pivotTables>
  <data>
    <tabular pivotCacheId="1301692055">
      <items count="12">
        <i x="9" s="1"/>
        <i x="6" s="1"/>
        <i x="10" s="1"/>
        <i x="0" s="1"/>
        <i x="1" s="1"/>
        <i x="7" s="1"/>
        <i x="2" s="1"/>
        <i x="8" s="1"/>
        <i x="4" s="1"/>
        <i x="11"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47303A04-8E0C-487E-A647-A29F981AFE36}" cache="Slicer_Quarter1" caption="Quarter" rowHeight="273050"/>
  <slicer name="Region" xr10:uid="{EC8D9EC5-061F-407C-A417-8DF2C7992679}" cache="Slicer_Region1" caption="Region" rowHeight="273050"/>
  <slicer name="City" xr10:uid="{601CE598-11EB-41D4-826C-726DE7672381}" cache="Slicer_City1" caption="City" rowHeight="273050"/>
  <slicer name="Product" xr10:uid="{2EA20DD7-07DE-4487-B4B1-48D4FA3FA6D2}" cache="Slicer_Product1" caption="Product" rowHeight="273050"/>
  <slicer name="Months" xr10:uid="{205D4C14-AA3E-4ED9-9CE1-C0F9ABFC7FA6}" cache="Slicer_Months" caption="Months" columnCount="12"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2" xr10:uid="{AD0B854A-329D-4A67-B711-E703A4585E69}" cache="Slicer_Quarter1" caption="Quarter" columnCount="2" rowHeight="144000"/>
  <slicer name="Region 2" xr10:uid="{14B71AB7-30D7-4FE9-8C46-533920238A58}" cache="Slicer_Region1" caption="Region" columnCount="2" rowHeight="252000"/>
  <slicer name="City 2" xr10:uid="{9EBBC0A5-C7BC-4816-B0A0-D88EA1635393}" cache="Slicer_City1" caption="City" rowHeight="255600"/>
  <slicer name="Product 2" xr10:uid="{49EA189A-C042-4422-89B2-7E0C69461108}" cache="Slicer_Product1" caption="Product" rowHeight="252000"/>
  <slicer name="Months 1" xr10:uid="{2CF307FA-CE5A-4F44-B1EB-76A05DC976FB}" cache="Slicer_Months" caption="Months" columnCount="1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28FCD1-C7C8-49A9-8102-E78CCA3A17AD}" name="Table2" displayName="Table2" ref="A1:M199" totalsRowShown="0" headerRowDxfId="21" dataDxfId="20">
  <autoFilter ref="A1:M199" xr:uid="{D128FCD1-C7C8-49A9-8102-E78CCA3A17AD}"/>
  <tableColumns count="13">
    <tableColumn id="1" xr3:uid="{82F67F3A-39AD-45E2-971F-338DF5047DBC}" name="Transaction_ID" dataDxfId="19"/>
    <tableColumn id="2" xr3:uid="{E03D75A1-7E96-482F-A692-4B508D7BECD9}" name="Date" dataDxfId="18"/>
    <tableColumn id="15" xr3:uid="{599D3FAA-61F5-4371-98E0-DDBD58501806}" name="Months" dataDxfId="17"/>
    <tableColumn id="4" xr3:uid="{75AB5703-A0C8-451F-8CD2-B1D6CECD3196}" name="Quarter" dataDxfId="16"/>
    <tableColumn id="5" xr3:uid="{A5E712F0-E866-411B-9D6B-945A1CBC5757}" name="Region" dataDxfId="15"/>
    <tableColumn id="6" xr3:uid="{D058C1FA-EA34-4937-ACF9-FD1C4DC020A8}" name="City" dataDxfId="14"/>
    <tableColumn id="7" xr3:uid="{7DF24BFF-966B-4AF3-ACD3-E6E68CADF44D}" name="Product" dataDxfId="13"/>
    <tableColumn id="8" xr3:uid="{FA62DEE6-4E4E-4F2D-A7C2-62B17288662A}" name="Quantity" dataDxfId="12"/>
    <tableColumn id="9" xr3:uid="{967D1D53-C441-4A44-B113-BD3FBF4A2DA0}" name="Unit_Price" dataDxfId="11"/>
    <tableColumn id="10" xr3:uid="{583768CD-97CB-428B-B0E5-67CFE8998A42}" name="Total_Sale" dataDxfId="10"/>
    <tableColumn id="11" xr3:uid="{BFD99938-7467-473A-8FDB-22139BC5CF27}" name="COGS" dataDxfId="9"/>
    <tableColumn id="12" xr3:uid="{78CD1675-EC28-4F0F-A955-14A062CA3572}" name="Profit" dataDxfId="8"/>
    <tableColumn id="13" xr3:uid="{5C3C9FFF-D814-4E9B-9BE3-46A23E55DEE7}" name="Profit_Margin_%" dataDxfId="7"/>
  </tableColumns>
  <tableStyleInfo name="TableStyleMedium2" showFirstColumn="0" showLastColumn="0" showRowStripes="1" showColumnStripes="0"/>
</table>
</file>

<file path=xl/theme/theme1.xml><?xml version="1.0" encoding="utf-8"?>
<a:theme xmlns:a="http://schemas.openxmlformats.org/drawingml/2006/main" name="Theme1">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flection">
      <a:fillStyleLst>
        <a:solidFill>
          <a:schemeClr val="phClr"/>
        </a:solidFill>
        <a:gradFill rotWithShape="1">
          <a:gsLst>
            <a:gs pos="0">
              <a:schemeClr val="phClr">
                <a:tint val="50000"/>
                <a:alpha val="100000"/>
                <a:satMod val="140000"/>
                <a:lumMod val="105000"/>
              </a:schemeClr>
            </a:gs>
            <a:gs pos="41000">
              <a:schemeClr val="phClr">
                <a:tint val="57000"/>
                <a:satMod val="160000"/>
                <a:lumMod val="99000"/>
              </a:schemeClr>
            </a:gs>
            <a:gs pos="100000">
              <a:schemeClr val="phClr">
                <a:tint val="80000"/>
                <a:satMod val="180000"/>
                <a:lumMod val="104000"/>
              </a:schemeClr>
            </a:gs>
          </a:gsLst>
          <a:lin ang="5400000" scaled="1"/>
        </a:gradFill>
        <a:gradFill rotWithShape="1">
          <a:gsLst>
            <a:gs pos="0">
              <a:schemeClr val="phClr">
                <a:tint val="97000"/>
                <a:satMod val="115000"/>
                <a:lumMod val="114000"/>
              </a:schemeClr>
            </a:gs>
            <a:gs pos="60000">
              <a:schemeClr val="phClr">
                <a:tint val="100000"/>
                <a:shade val="96000"/>
                <a:satMod val="100000"/>
                <a:lumMod val="108000"/>
              </a:schemeClr>
            </a:gs>
            <a:gs pos="100000">
              <a:schemeClr val="phClr">
                <a:shade val="91000"/>
                <a:sat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38100" dist="25400" dir="5400000" rotWithShape="0">
              <a:srgbClr val="000000">
                <a:alpha val="28000"/>
              </a:srgbClr>
            </a:outerShdw>
          </a:effectLst>
        </a:effectStyle>
        <a:effectStyle>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a:effectStyle>
        <a:effectStyle>
          <a:effectLst>
            <a:reflection blurRad="25400" stA="32000" endPos="28000" dist="8889" dir="5400000" sy="-100000" rotWithShape="0"/>
          </a:effectLst>
          <a:scene3d>
            <a:camera prst="orthographicFront">
              <a:rot lat="0" lon="0" rev="0"/>
            </a:camera>
            <a:lightRig rig="threePt" dir="t">
              <a:rot lat="0" lon="0" rev="4800000"/>
            </a:lightRig>
          </a:scene3d>
          <a:sp3d>
            <a:bevelT w="50800" h="25400"/>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1A902-12BB-4ADE-875B-65D91C5A9767}">
  <dimension ref="A1:M200"/>
  <sheetViews>
    <sheetView workbookViewId="0">
      <selection activeCell="D7" sqref="D7"/>
    </sheetView>
  </sheetViews>
  <sheetFormatPr defaultRowHeight="17.25" x14ac:dyDescent="0.35"/>
  <cols>
    <col min="1" max="1" width="16.375" customWidth="1"/>
    <col min="2" max="2" width="10.375" customWidth="1"/>
    <col min="3" max="3" width="9.875" customWidth="1"/>
    <col min="4" max="4" width="9.625" customWidth="1"/>
    <col min="5" max="5" width="13.25" customWidth="1"/>
    <col min="6" max="6" width="19" customWidth="1"/>
    <col min="7" max="7" width="10.75" customWidth="1"/>
    <col min="8" max="9" width="12.25" style="4" customWidth="1"/>
    <col min="10" max="11" width="12" style="4" customWidth="1"/>
    <col min="12" max="12" width="17.375" customWidth="1"/>
    <col min="13" max="13" width="16.125" customWidth="1"/>
  </cols>
  <sheetData>
    <row r="1" spans="1:13" s="7" customFormat="1" x14ac:dyDescent="0.35">
      <c r="A1" s="5" t="s">
        <v>0</v>
      </c>
      <c r="B1" s="5" t="s">
        <v>1</v>
      </c>
      <c r="C1" s="5" t="s">
        <v>261</v>
      </c>
      <c r="D1" s="5" t="s">
        <v>2</v>
      </c>
      <c r="E1" s="5" t="s">
        <v>3</v>
      </c>
      <c r="F1" s="5" t="s">
        <v>4</v>
      </c>
      <c r="G1" s="5" t="s">
        <v>245</v>
      </c>
      <c r="H1" s="5" t="s">
        <v>5</v>
      </c>
      <c r="I1" s="6" t="s">
        <v>6</v>
      </c>
      <c r="J1" s="6" t="s">
        <v>7</v>
      </c>
      <c r="K1" s="6" t="s">
        <v>8</v>
      </c>
      <c r="L1" s="6" t="s">
        <v>9</v>
      </c>
      <c r="M1" s="5" t="s">
        <v>10</v>
      </c>
    </row>
    <row r="2" spans="1:13" x14ac:dyDescent="0.35">
      <c r="A2" s="1" t="s">
        <v>11</v>
      </c>
      <c r="B2" s="2">
        <v>45394</v>
      </c>
      <c r="C2" s="1" t="s">
        <v>250</v>
      </c>
      <c r="D2" s="1" t="s">
        <v>12</v>
      </c>
      <c r="E2" s="1" t="s">
        <v>13</v>
      </c>
      <c r="F2" s="1" t="s">
        <v>14</v>
      </c>
      <c r="G2" s="1" t="s">
        <v>15</v>
      </c>
      <c r="H2" s="1">
        <v>3</v>
      </c>
      <c r="I2" s="3">
        <v>56695.37</v>
      </c>
      <c r="J2" s="3">
        <v>170086.1</v>
      </c>
      <c r="K2" s="3">
        <v>103698.94</v>
      </c>
      <c r="L2" s="3">
        <v>66387.149999999994</v>
      </c>
      <c r="M2" s="1">
        <v>39.03</v>
      </c>
    </row>
    <row r="3" spans="1:13" x14ac:dyDescent="0.35">
      <c r="A3" s="1" t="s">
        <v>16</v>
      </c>
      <c r="B3" s="2">
        <v>45413</v>
      </c>
      <c r="C3" s="1" t="s">
        <v>17</v>
      </c>
      <c r="D3" s="1" t="s">
        <v>12</v>
      </c>
      <c r="E3" s="1" t="s">
        <v>18</v>
      </c>
      <c r="F3" s="1" t="s">
        <v>19</v>
      </c>
      <c r="G3" s="1" t="s">
        <v>15</v>
      </c>
      <c r="H3" s="1">
        <v>3</v>
      </c>
      <c r="I3" s="3">
        <v>57992.639999999999</v>
      </c>
      <c r="J3" s="3">
        <v>173977.93</v>
      </c>
      <c r="K3" s="3">
        <v>106145.93</v>
      </c>
      <c r="L3" s="3">
        <v>67831.990000000005</v>
      </c>
      <c r="M3" s="1">
        <v>38.99</v>
      </c>
    </row>
    <row r="4" spans="1:13" x14ac:dyDescent="0.35">
      <c r="A4" s="1" t="s">
        <v>20</v>
      </c>
      <c r="B4" s="2">
        <v>45443</v>
      </c>
      <c r="C4" s="1" t="s">
        <v>17</v>
      </c>
      <c r="D4" s="1" t="s">
        <v>12</v>
      </c>
      <c r="E4" s="1" t="s">
        <v>18</v>
      </c>
      <c r="F4" s="1" t="s">
        <v>21</v>
      </c>
      <c r="G4" s="1" t="s">
        <v>22</v>
      </c>
      <c r="H4" s="1">
        <v>2</v>
      </c>
      <c r="I4" s="3">
        <v>18609.990000000002</v>
      </c>
      <c r="J4" s="3">
        <v>37219.99</v>
      </c>
      <c r="K4" s="3">
        <v>23964.29</v>
      </c>
      <c r="L4" s="3">
        <v>13255.7</v>
      </c>
      <c r="M4" s="1">
        <v>35.61</v>
      </c>
    </row>
    <row r="5" spans="1:13" x14ac:dyDescent="0.35">
      <c r="A5" s="1" t="s">
        <v>23</v>
      </c>
      <c r="B5" s="2">
        <v>45483</v>
      </c>
      <c r="C5" s="1" t="s">
        <v>251</v>
      </c>
      <c r="D5" s="1" t="s">
        <v>24</v>
      </c>
      <c r="E5" s="1" t="s">
        <v>13</v>
      </c>
      <c r="F5" s="1" t="s">
        <v>14</v>
      </c>
      <c r="G5" s="1" t="s">
        <v>22</v>
      </c>
      <c r="H5" s="1">
        <v>4</v>
      </c>
      <c r="I5" s="3">
        <v>18058.27</v>
      </c>
      <c r="J5" s="3">
        <v>72233.06</v>
      </c>
      <c r="K5" s="3">
        <v>39779.230000000003</v>
      </c>
      <c r="L5" s="3">
        <v>32453.84</v>
      </c>
      <c r="M5" s="1">
        <v>44.93</v>
      </c>
    </row>
    <row r="6" spans="1:13" x14ac:dyDescent="0.35">
      <c r="A6" s="1" t="s">
        <v>25</v>
      </c>
      <c r="B6" s="2">
        <v>45636</v>
      </c>
      <c r="C6" s="1" t="s">
        <v>252</v>
      </c>
      <c r="D6" s="1" t="s">
        <v>26</v>
      </c>
      <c r="E6" s="1" t="s">
        <v>27</v>
      </c>
      <c r="F6" s="1" t="s">
        <v>28</v>
      </c>
      <c r="G6" s="1" t="s">
        <v>15</v>
      </c>
      <c r="H6" s="1">
        <v>7</v>
      </c>
      <c r="I6" s="3">
        <v>47092.41</v>
      </c>
      <c r="J6" s="3">
        <v>329646.86</v>
      </c>
      <c r="K6" s="3">
        <v>190936.23</v>
      </c>
      <c r="L6" s="3">
        <v>138710.63</v>
      </c>
      <c r="M6" s="1">
        <v>42.08</v>
      </c>
    </row>
    <row r="7" spans="1:13" x14ac:dyDescent="0.35">
      <c r="A7" s="1" t="s">
        <v>29</v>
      </c>
      <c r="B7" s="2">
        <v>45562</v>
      </c>
      <c r="C7" s="1" t="s">
        <v>253</v>
      </c>
      <c r="D7" s="1" t="s">
        <v>24</v>
      </c>
      <c r="E7" s="1" t="s">
        <v>35</v>
      </c>
      <c r="F7" s="1" t="s">
        <v>30</v>
      </c>
      <c r="G7" s="1" t="s">
        <v>15</v>
      </c>
      <c r="H7" s="1">
        <v>6</v>
      </c>
      <c r="I7" s="3">
        <v>47995.11</v>
      </c>
      <c r="J7" s="3">
        <v>287970.64</v>
      </c>
      <c r="K7" s="3">
        <v>173192.29</v>
      </c>
      <c r="L7" s="3">
        <v>114778.35</v>
      </c>
      <c r="M7" s="1">
        <v>39.86</v>
      </c>
    </row>
    <row r="8" spans="1:13" x14ac:dyDescent="0.35">
      <c r="A8" s="1" t="s">
        <v>31</v>
      </c>
      <c r="B8" s="2">
        <v>45611</v>
      </c>
      <c r="C8" s="1" t="s">
        <v>254</v>
      </c>
      <c r="D8" s="1" t="s">
        <v>26</v>
      </c>
      <c r="E8" s="1" t="s">
        <v>27</v>
      </c>
      <c r="F8" s="1" t="s">
        <v>28</v>
      </c>
      <c r="G8" s="1" t="s">
        <v>22</v>
      </c>
      <c r="H8" s="1">
        <v>3</v>
      </c>
      <c r="I8" s="3">
        <v>18401.54</v>
      </c>
      <c r="J8" s="3">
        <v>55204.61</v>
      </c>
      <c r="K8" s="3">
        <v>32849.5</v>
      </c>
      <c r="L8" s="3">
        <v>22355.11</v>
      </c>
      <c r="M8" s="1">
        <v>40.5</v>
      </c>
    </row>
    <row r="9" spans="1:13" x14ac:dyDescent="0.35">
      <c r="A9" s="1" t="s">
        <v>32</v>
      </c>
      <c r="B9" s="2">
        <v>45565</v>
      </c>
      <c r="C9" s="1" t="s">
        <v>253</v>
      </c>
      <c r="D9" s="1" t="s">
        <v>24</v>
      </c>
      <c r="E9" s="1" t="s">
        <v>13</v>
      </c>
      <c r="F9" s="1" t="s">
        <v>14</v>
      </c>
      <c r="G9" s="1" t="s">
        <v>244</v>
      </c>
      <c r="H9" s="1">
        <v>6</v>
      </c>
      <c r="I9" s="3">
        <v>5233.59</v>
      </c>
      <c r="J9" s="3">
        <v>31401.54</v>
      </c>
      <c r="K9" s="3">
        <v>18227.38</v>
      </c>
      <c r="L9" s="3">
        <v>13174.16</v>
      </c>
      <c r="M9" s="1">
        <v>41.95</v>
      </c>
    </row>
    <row r="10" spans="1:13" x14ac:dyDescent="0.35">
      <c r="A10" s="1" t="s">
        <v>33</v>
      </c>
      <c r="B10" s="2">
        <v>45344</v>
      </c>
      <c r="C10" s="1" t="s">
        <v>255</v>
      </c>
      <c r="D10" s="1" t="s">
        <v>34</v>
      </c>
      <c r="E10" s="1" t="s">
        <v>35</v>
      </c>
      <c r="F10" s="1" t="s">
        <v>36</v>
      </c>
      <c r="G10" s="1" t="s">
        <v>244</v>
      </c>
      <c r="H10" s="1">
        <v>7</v>
      </c>
      <c r="I10" s="3">
        <v>4733.05</v>
      </c>
      <c r="J10" s="3">
        <v>33131.379999999997</v>
      </c>
      <c r="K10" s="3">
        <v>20243.259999999998</v>
      </c>
      <c r="L10" s="3">
        <v>12888.12</v>
      </c>
      <c r="M10" s="1">
        <v>38.9</v>
      </c>
    </row>
    <row r="11" spans="1:13" x14ac:dyDescent="0.35">
      <c r="A11" s="1" t="s">
        <v>37</v>
      </c>
      <c r="B11" s="2">
        <v>45555</v>
      </c>
      <c r="C11" s="1" t="s">
        <v>253</v>
      </c>
      <c r="D11" s="1" t="s">
        <v>24</v>
      </c>
      <c r="E11" s="1" t="s">
        <v>18</v>
      </c>
      <c r="F11" s="1" t="s">
        <v>21</v>
      </c>
      <c r="G11" s="1" t="s">
        <v>22</v>
      </c>
      <c r="H11" s="1">
        <v>4</v>
      </c>
      <c r="I11" s="3">
        <v>15911.18</v>
      </c>
      <c r="J11" s="3">
        <v>63644.72</v>
      </c>
      <c r="K11" s="3">
        <v>39812.07</v>
      </c>
      <c r="L11" s="3">
        <v>23832.65</v>
      </c>
      <c r="M11" s="1">
        <v>37.450000000000003</v>
      </c>
    </row>
    <row r="12" spans="1:13" x14ac:dyDescent="0.35">
      <c r="A12" s="1" t="s">
        <v>38</v>
      </c>
      <c r="B12" s="2">
        <v>45345</v>
      </c>
      <c r="C12" s="1" t="s">
        <v>255</v>
      </c>
      <c r="D12" s="1" t="s">
        <v>34</v>
      </c>
      <c r="E12" s="1" t="s">
        <v>35</v>
      </c>
      <c r="F12" s="1" t="s">
        <v>36</v>
      </c>
      <c r="G12" s="1" t="s">
        <v>39</v>
      </c>
      <c r="H12" s="1">
        <v>5</v>
      </c>
      <c r="I12" s="3">
        <v>39543.769999999997</v>
      </c>
      <c r="J12" s="3">
        <v>197718.85</v>
      </c>
      <c r="K12" s="3">
        <v>124071.2</v>
      </c>
      <c r="L12" s="3">
        <v>73647.64</v>
      </c>
      <c r="M12" s="1">
        <v>37.25</v>
      </c>
    </row>
    <row r="13" spans="1:13" x14ac:dyDescent="0.35">
      <c r="A13" s="1" t="s">
        <v>40</v>
      </c>
      <c r="B13" s="2">
        <v>45453</v>
      </c>
      <c r="C13" s="1" t="s">
        <v>256</v>
      </c>
      <c r="D13" s="1" t="s">
        <v>12</v>
      </c>
      <c r="E13" s="1" t="s">
        <v>35</v>
      </c>
      <c r="F13" s="1" t="s">
        <v>41</v>
      </c>
      <c r="G13" s="1" t="s">
        <v>244</v>
      </c>
      <c r="H13" s="1">
        <v>6</v>
      </c>
      <c r="I13" s="3">
        <v>4909.09</v>
      </c>
      <c r="J13" s="3">
        <v>29454.53</v>
      </c>
      <c r="K13" s="3">
        <v>17161.8</v>
      </c>
      <c r="L13" s="3">
        <v>12292.73</v>
      </c>
      <c r="M13" s="1">
        <v>41.73</v>
      </c>
    </row>
    <row r="14" spans="1:13" x14ac:dyDescent="0.35">
      <c r="A14" s="1" t="s">
        <v>42</v>
      </c>
      <c r="B14" s="2">
        <v>45506</v>
      </c>
      <c r="C14" s="1" t="s">
        <v>257</v>
      </c>
      <c r="D14" s="1" t="s">
        <v>24</v>
      </c>
      <c r="E14" s="1" t="s">
        <v>13</v>
      </c>
      <c r="F14" s="1" t="s">
        <v>14</v>
      </c>
      <c r="G14" s="1" t="s">
        <v>39</v>
      </c>
      <c r="H14" s="1">
        <v>5</v>
      </c>
      <c r="I14" s="3">
        <v>30830.16</v>
      </c>
      <c r="J14" s="3">
        <v>154150.79999999999</v>
      </c>
      <c r="K14" s="3">
        <v>88965.81</v>
      </c>
      <c r="L14" s="3">
        <v>65184.99</v>
      </c>
      <c r="M14" s="1">
        <v>42.29</v>
      </c>
    </row>
    <row r="15" spans="1:13" x14ac:dyDescent="0.35">
      <c r="A15" s="1" t="s">
        <v>43</v>
      </c>
      <c r="B15" s="2">
        <v>45344</v>
      </c>
      <c r="C15" s="1" t="s">
        <v>255</v>
      </c>
      <c r="D15" s="1" t="s">
        <v>34</v>
      </c>
      <c r="E15" s="1" t="s">
        <v>35</v>
      </c>
      <c r="F15" s="1" t="s">
        <v>44</v>
      </c>
      <c r="G15" s="1" t="s">
        <v>244</v>
      </c>
      <c r="H15" s="1">
        <v>4</v>
      </c>
      <c r="I15" s="3">
        <v>4170.78</v>
      </c>
      <c r="J15" s="3">
        <v>16683.14</v>
      </c>
      <c r="K15" s="3">
        <v>9410.83</v>
      </c>
      <c r="L15" s="3">
        <v>7272.31</v>
      </c>
      <c r="M15" s="1">
        <v>43.59</v>
      </c>
    </row>
    <row r="16" spans="1:13" x14ac:dyDescent="0.35">
      <c r="A16" s="1" t="s">
        <v>45</v>
      </c>
      <c r="B16" s="2">
        <v>45306</v>
      </c>
      <c r="C16" s="1" t="s">
        <v>258</v>
      </c>
      <c r="D16" s="1" t="s">
        <v>34</v>
      </c>
      <c r="E16" s="1" t="s">
        <v>13</v>
      </c>
      <c r="F16" s="1" t="s">
        <v>19</v>
      </c>
      <c r="G16" s="1" t="s">
        <v>22</v>
      </c>
      <c r="H16" s="1">
        <v>7</v>
      </c>
      <c r="I16" s="3">
        <v>17117.009999999998</v>
      </c>
      <c r="J16" s="3">
        <v>119819.05</v>
      </c>
      <c r="K16" s="3">
        <v>70631.91</v>
      </c>
      <c r="L16" s="3">
        <v>49187.14</v>
      </c>
      <c r="M16" s="1">
        <v>41.05</v>
      </c>
    </row>
    <row r="17" spans="1:13" x14ac:dyDescent="0.35">
      <c r="A17" s="1" t="s">
        <v>46</v>
      </c>
      <c r="B17" s="2">
        <v>45427</v>
      </c>
      <c r="C17" s="1" t="s">
        <v>17</v>
      </c>
      <c r="D17" s="1" t="s">
        <v>12</v>
      </c>
      <c r="E17" s="1" t="s">
        <v>18</v>
      </c>
      <c r="F17" s="1" t="s">
        <v>19</v>
      </c>
      <c r="G17" s="1" t="s">
        <v>22</v>
      </c>
      <c r="H17" s="1">
        <v>3</v>
      </c>
      <c r="I17" s="3">
        <v>18950.88</v>
      </c>
      <c r="J17" s="3">
        <v>56852.63</v>
      </c>
      <c r="K17" s="3">
        <v>34713.99</v>
      </c>
      <c r="L17" s="3">
        <v>22138.639999999999</v>
      </c>
      <c r="M17" s="1">
        <v>38.94</v>
      </c>
    </row>
    <row r="18" spans="1:13" x14ac:dyDescent="0.35">
      <c r="A18" s="1" t="s">
        <v>47</v>
      </c>
      <c r="B18" s="2">
        <v>45522</v>
      </c>
      <c r="C18" s="1" t="s">
        <v>257</v>
      </c>
      <c r="D18" s="1" t="s">
        <v>24</v>
      </c>
      <c r="E18" s="1" t="s">
        <v>35</v>
      </c>
      <c r="F18" s="1" t="s">
        <v>44</v>
      </c>
      <c r="G18" s="1" t="s">
        <v>244</v>
      </c>
      <c r="H18" s="1">
        <v>7</v>
      </c>
      <c r="I18" s="3">
        <v>5400.15</v>
      </c>
      <c r="J18" s="3">
        <v>37801.08</v>
      </c>
      <c r="K18" s="3">
        <v>22489.57</v>
      </c>
      <c r="L18" s="3">
        <v>15311.51</v>
      </c>
      <c r="M18" s="1">
        <v>40.51</v>
      </c>
    </row>
    <row r="19" spans="1:13" x14ac:dyDescent="0.35">
      <c r="A19" s="1" t="s">
        <v>48</v>
      </c>
      <c r="B19" s="2">
        <v>45324</v>
      </c>
      <c r="C19" s="1" t="s">
        <v>255</v>
      </c>
      <c r="D19" s="1" t="s">
        <v>34</v>
      </c>
      <c r="E19" s="1" t="s">
        <v>18</v>
      </c>
      <c r="F19" s="1" t="s">
        <v>49</v>
      </c>
      <c r="G19" s="1" t="s">
        <v>22</v>
      </c>
      <c r="H19" s="1">
        <v>3</v>
      </c>
      <c r="I19" s="3">
        <v>17956.490000000002</v>
      </c>
      <c r="J19" s="3">
        <v>53869.47</v>
      </c>
      <c r="K19" s="3">
        <v>31108.12</v>
      </c>
      <c r="L19" s="3">
        <v>22761.35</v>
      </c>
      <c r="M19" s="1">
        <v>42.25</v>
      </c>
    </row>
    <row r="20" spans="1:13" x14ac:dyDescent="0.35">
      <c r="A20" s="1" t="s">
        <v>50</v>
      </c>
      <c r="B20" s="2">
        <v>45326</v>
      </c>
      <c r="C20" s="1" t="s">
        <v>255</v>
      </c>
      <c r="D20" s="1" t="s">
        <v>34</v>
      </c>
      <c r="E20" s="1" t="s">
        <v>27</v>
      </c>
      <c r="F20" s="1" t="s">
        <v>28</v>
      </c>
      <c r="G20" s="1" t="s">
        <v>22</v>
      </c>
      <c r="H20" s="1">
        <v>7</v>
      </c>
      <c r="I20" s="3">
        <v>18566.22</v>
      </c>
      <c r="J20" s="3">
        <v>129963.57</v>
      </c>
      <c r="K20" s="3">
        <v>81367.399999999994</v>
      </c>
      <c r="L20" s="3">
        <v>48596.17</v>
      </c>
      <c r="M20" s="1">
        <v>37.39</v>
      </c>
    </row>
    <row r="21" spans="1:13" x14ac:dyDescent="0.35">
      <c r="A21" s="1" t="s">
        <v>51</v>
      </c>
      <c r="B21" s="2">
        <v>45509</v>
      </c>
      <c r="C21" s="1" t="s">
        <v>257</v>
      </c>
      <c r="D21" s="1" t="s">
        <v>24</v>
      </c>
      <c r="E21" s="1" t="s">
        <v>18</v>
      </c>
      <c r="F21" s="1" t="s">
        <v>52</v>
      </c>
      <c r="G21" s="1" t="s">
        <v>15</v>
      </c>
      <c r="H21" s="1">
        <v>1</v>
      </c>
      <c r="I21" s="3">
        <v>55659.94</v>
      </c>
      <c r="J21" s="3">
        <v>55659.94</v>
      </c>
      <c r="K21" s="3">
        <v>31230.19</v>
      </c>
      <c r="L21" s="3">
        <v>24429.759999999998</v>
      </c>
      <c r="M21" s="1">
        <v>43.89</v>
      </c>
    </row>
    <row r="22" spans="1:13" x14ac:dyDescent="0.35">
      <c r="A22" s="1" t="s">
        <v>53</v>
      </c>
      <c r="B22" s="2">
        <v>45470</v>
      </c>
      <c r="C22" s="1" t="s">
        <v>256</v>
      </c>
      <c r="D22" s="1" t="s">
        <v>12</v>
      </c>
      <c r="E22" s="1" t="s">
        <v>27</v>
      </c>
      <c r="F22" s="1" t="s">
        <v>54</v>
      </c>
      <c r="G22" s="1" t="s">
        <v>22</v>
      </c>
      <c r="H22" s="1">
        <v>4</v>
      </c>
      <c r="I22" s="3">
        <v>19537.830000000002</v>
      </c>
      <c r="J22" s="3">
        <v>78151.33</v>
      </c>
      <c r="K22" s="3">
        <v>44931.48</v>
      </c>
      <c r="L22" s="3">
        <v>33219.85</v>
      </c>
      <c r="M22" s="1">
        <v>42.51</v>
      </c>
    </row>
    <row r="23" spans="1:13" x14ac:dyDescent="0.35">
      <c r="A23" s="1" t="s">
        <v>55</v>
      </c>
      <c r="B23" s="2">
        <v>45528</v>
      </c>
      <c r="C23" s="1" t="s">
        <v>257</v>
      </c>
      <c r="D23" s="1" t="s">
        <v>24</v>
      </c>
      <c r="E23" s="1" t="s">
        <v>18</v>
      </c>
      <c r="F23" s="1" t="s">
        <v>56</v>
      </c>
      <c r="G23" s="1" t="s">
        <v>244</v>
      </c>
      <c r="H23" s="1">
        <v>5</v>
      </c>
      <c r="I23" s="3">
        <v>2307.92</v>
      </c>
      <c r="J23" s="3">
        <v>11539.6</v>
      </c>
      <c r="K23" s="3">
        <v>6681.14</v>
      </c>
      <c r="L23" s="3">
        <v>4858.46</v>
      </c>
      <c r="M23" s="1">
        <v>42.1</v>
      </c>
    </row>
    <row r="24" spans="1:13" x14ac:dyDescent="0.35">
      <c r="A24" s="1" t="s">
        <v>57</v>
      </c>
      <c r="B24" s="2">
        <v>45377</v>
      </c>
      <c r="C24" s="1" t="s">
        <v>259</v>
      </c>
      <c r="D24" s="1" t="s">
        <v>34</v>
      </c>
      <c r="E24" s="1" t="s">
        <v>13</v>
      </c>
      <c r="F24" s="1" t="s">
        <v>58</v>
      </c>
      <c r="G24" s="1" t="s">
        <v>39</v>
      </c>
      <c r="H24" s="1">
        <v>5</v>
      </c>
      <c r="I24" s="3">
        <v>29434.51</v>
      </c>
      <c r="J24" s="3">
        <v>147172.53</v>
      </c>
      <c r="K24" s="3">
        <v>82497.48</v>
      </c>
      <c r="L24" s="3">
        <v>64675.05</v>
      </c>
      <c r="M24" s="1">
        <v>43.95</v>
      </c>
    </row>
    <row r="25" spans="1:13" x14ac:dyDescent="0.35">
      <c r="A25" s="1" t="s">
        <v>59</v>
      </c>
      <c r="B25" s="2">
        <v>45575</v>
      </c>
      <c r="C25" s="1" t="s">
        <v>260</v>
      </c>
      <c r="D25" s="1" t="s">
        <v>26</v>
      </c>
      <c r="E25" s="1" t="s">
        <v>13</v>
      </c>
      <c r="F25" s="1" t="s">
        <v>60</v>
      </c>
      <c r="G25" s="1" t="s">
        <v>244</v>
      </c>
      <c r="H25" s="1">
        <v>4</v>
      </c>
      <c r="I25" s="3">
        <v>5570.24</v>
      </c>
      <c r="J25" s="3">
        <v>22280.94</v>
      </c>
      <c r="K25" s="3">
        <v>13456.22</v>
      </c>
      <c r="L25" s="3">
        <v>8824.7199999999993</v>
      </c>
      <c r="M25" s="1">
        <v>39.61</v>
      </c>
    </row>
    <row r="26" spans="1:13" x14ac:dyDescent="0.35">
      <c r="A26" s="1" t="s">
        <v>61</v>
      </c>
      <c r="B26" s="2">
        <v>45639</v>
      </c>
      <c r="C26" s="1" t="s">
        <v>252</v>
      </c>
      <c r="D26" s="1" t="s">
        <v>26</v>
      </c>
      <c r="E26" s="1" t="s">
        <v>27</v>
      </c>
      <c r="F26" s="1" t="s">
        <v>28</v>
      </c>
      <c r="G26" s="1" t="s">
        <v>39</v>
      </c>
      <c r="H26" s="1">
        <v>1</v>
      </c>
      <c r="I26" s="3">
        <v>29081.98</v>
      </c>
      <c r="J26" s="3">
        <v>29081.98</v>
      </c>
      <c r="K26" s="3">
        <v>17878.7</v>
      </c>
      <c r="L26" s="3">
        <v>11203.28</v>
      </c>
      <c r="M26" s="1">
        <v>38.520000000000003</v>
      </c>
    </row>
    <row r="27" spans="1:13" x14ac:dyDescent="0.35">
      <c r="A27" s="1" t="s">
        <v>62</v>
      </c>
      <c r="B27" s="2">
        <v>45412</v>
      </c>
      <c r="C27" s="1" t="s">
        <v>250</v>
      </c>
      <c r="D27" s="1" t="s">
        <v>12</v>
      </c>
      <c r="E27" s="1" t="s">
        <v>13</v>
      </c>
      <c r="F27" s="1" t="s">
        <v>14</v>
      </c>
      <c r="G27" s="1" t="s">
        <v>22</v>
      </c>
      <c r="H27" s="1">
        <v>3</v>
      </c>
      <c r="I27" s="3">
        <v>15034.76</v>
      </c>
      <c r="J27" s="3">
        <v>45104.28</v>
      </c>
      <c r="K27" s="3">
        <v>27111.040000000001</v>
      </c>
      <c r="L27" s="3">
        <v>17993.240000000002</v>
      </c>
      <c r="M27" s="1">
        <v>39.89</v>
      </c>
    </row>
    <row r="28" spans="1:13" x14ac:dyDescent="0.35">
      <c r="A28" s="1" t="s">
        <v>63</v>
      </c>
      <c r="B28" s="2">
        <v>45428</v>
      </c>
      <c r="C28" s="1" t="s">
        <v>17</v>
      </c>
      <c r="D28" s="1" t="s">
        <v>12</v>
      </c>
      <c r="E28" s="1" t="s">
        <v>18</v>
      </c>
      <c r="F28" s="1" t="s">
        <v>64</v>
      </c>
      <c r="G28" s="1" t="s">
        <v>22</v>
      </c>
      <c r="H28" s="1">
        <v>3</v>
      </c>
      <c r="I28" s="3">
        <v>16347.06</v>
      </c>
      <c r="J28" s="3">
        <v>49041.19</v>
      </c>
      <c r="K28" s="3">
        <v>28169.87</v>
      </c>
      <c r="L28" s="3">
        <v>20871.310000000001</v>
      </c>
      <c r="M28" s="1">
        <v>42.56</v>
      </c>
    </row>
    <row r="29" spans="1:13" x14ac:dyDescent="0.35">
      <c r="A29" s="1" t="s">
        <v>65</v>
      </c>
      <c r="B29" s="2">
        <v>45606</v>
      </c>
      <c r="C29" s="1" t="s">
        <v>254</v>
      </c>
      <c r="D29" s="1" t="s">
        <v>26</v>
      </c>
      <c r="E29" s="1" t="s">
        <v>35</v>
      </c>
      <c r="F29" s="1" t="s">
        <v>49</v>
      </c>
      <c r="G29" s="1" t="s">
        <v>244</v>
      </c>
      <c r="H29" s="1">
        <v>1</v>
      </c>
      <c r="I29" s="3">
        <v>3615.34</v>
      </c>
      <c r="J29" s="3">
        <v>3615.34</v>
      </c>
      <c r="K29" s="3">
        <v>2011.9</v>
      </c>
      <c r="L29" s="3">
        <v>1603.44</v>
      </c>
      <c r="M29" s="1">
        <v>44.35</v>
      </c>
    </row>
    <row r="30" spans="1:13" x14ac:dyDescent="0.35">
      <c r="A30" s="1" t="s">
        <v>66</v>
      </c>
      <c r="B30" s="2">
        <v>45343</v>
      </c>
      <c r="C30" s="1" t="s">
        <v>255</v>
      </c>
      <c r="D30" s="1" t="s">
        <v>34</v>
      </c>
      <c r="E30" s="1" t="s">
        <v>13</v>
      </c>
      <c r="F30" s="1" t="s">
        <v>58</v>
      </c>
      <c r="G30" s="1" t="s">
        <v>15</v>
      </c>
      <c r="H30" s="1">
        <v>2</v>
      </c>
      <c r="I30" s="3">
        <v>55684.06</v>
      </c>
      <c r="J30" s="3">
        <v>111368.12</v>
      </c>
      <c r="K30" s="3">
        <v>62901.68</v>
      </c>
      <c r="L30" s="3">
        <v>48466.44</v>
      </c>
      <c r="M30" s="1">
        <v>43.52</v>
      </c>
    </row>
    <row r="31" spans="1:13" x14ac:dyDescent="0.35">
      <c r="A31" s="1" t="s">
        <v>67</v>
      </c>
      <c r="B31" s="2">
        <v>45372</v>
      </c>
      <c r="C31" s="1" t="s">
        <v>259</v>
      </c>
      <c r="D31" s="1" t="s">
        <v>34</v>
      </c>
      <c r="E31" s="1" t="s">
        <v>18</v>
      </c>
      <c r="F31" s="1" t="s">
        <v>56</v>
      </c>
      <c r="G31" s="1" t="s">
        <v>39</v>
      </c>
      <c r="H31" s="1">
        <v>2</v>
      </c>
      <c r="I31" s="3">
        <v>31165.56</v>
      </c>
      <c r="J31" s="3">
        <v>62331.11</v>
      </c>
      <c r="K31" s="3">
        <v>34488.120000000003</v>
      </c>
      <c r="L31" s="3">
        <v>27842.99</v>
      </c>
      <c r="M31" s="1">
        <v>44.67</v>
      </c>
    </row>
    <row r="32" spans="1:13" x14ac:dyDescent="0.35">
      <c r="A32" s="1" t="s">
        <v>68</v>
      </c>
      <c r="B32" s="2">
        <v>45515</v>
      </c>
      <c r="C32" s="1" t="s">
        <v>257</v>
      </c>
      <c r="D32" s="1" t="s">
        <v>24</v>
      </c>
      <c r="E32" s="1" t="s">
        <v>27</v>
      </c>
      <c r="F32" s="1" t="s">
        <v>69</v>
      </c>
      <c r="G32" s="1" t="s">
        <v>15</v>
      </c>
      <c r="H32" s="1">
        <v>6</v>
      </c>
      <c r="I32" s="3">
        <v>47173.42</v>
      </c>
      <c r="J32" s="3">
        <v>283040.53999999998</v>
      </c>
      <c r="K32" s="3">
        <v>169525.79</v>
      </c>
      <c r="L32" s="3">
        <v>113514.75</v>
      </c>
      <c r="M32" s="1">
        <v>40.11</v>
      </c>
    </row>
    <row r="33" spans="1:13" x14ac:dyDescent="0.35">
      <c r="A33" s="1" t="s">
        <v>70</v>
      </c>
      <c r="B33" s="2">
        <v>45451</v>
      </c>
      <c r="C33" s="1" t="s">
        <v>256</v>
      </c>
      <c r="D33" s="1" t="s">
        <v>12</v>
      </c>
      <c r="E33" s="1" t="s">
        <v>35</v>
      </c>
      <c r="F33" s="1" t="s">
        <v>49</v>
      </c>
      <c r="G33" s="1" t="s">
        <v>15</v>
      </c>
      <c r="H33" s="1">
        <v>4</v>
      </c>
      <c r="I33" s="3">
        <v>46212.800000000003</v>
      </c>
      <c r="J33" s="3">
        <v>184851.20000000001</v>
      </c>
      <c r="K33" s="3">
        <v>108501.27</v>
      </c>
      <c r="L33" s="3">
        <v>76349.929999999993</v>
      </c>
      <c r="M33" s="1">
        <v>41.3</v>
      </c>
    </row>
    <row r="34" spans="1:13" x14ac:dyDescent="0.35">
      <c r="A34" s="1" t="s">
        <v>71</v>
      </c>
      <c r="B34" s="2">
        <v>45546</v>
      </c>
      <c r="C34" s="1" t="s">
        <v>253</v>
      </c>
      <c r="D34" s="1" t="s">
        <v>24</v>
      </c>
      <c r="E34" s="1" t="s">
        <v>18</v>
      </c>
      <c r="F34" s="1" t="s">
        <v>49</v>
      </c>
      <c r="G34" s="1" t="s">
        <v>22</v>
      </c>
      <c r="H34" s="1">
        <v>4</v>
      </c>
      <c r="I34" s="3">
        <v>19917.12</v>
      </c>
      <c r="J34" s="3">
        <v>79668.460000000006</v>
      </c>
      <c r="K34" s="3">
        <v>46995.03</v>
      </c>
      <c r="L34" s="3">
        <v>32673.439999999999</v>
      </c>
      <c r="M34" s="1">
        <v>41.01</v>
      </c>
    </row>
    <row r="35" spans="1:13" x14ac:dyDescent="0.35">
      <c r="A35" s="1" t="s">
        <v>72</v>
      </c>
      <c r="B35" s="2">
        <v>45531</v>
      </c>
      <c r="C35" s="1" t="s">
        <v>257</v>
      </c>
      <c r="D35" s="1" t="s">
        <v>24</v>
      </c>
      <c r="E35" s="1" t="s">
        <v>27</v>
      </c>
      <c r="F35" s="1" t="s">
        <v>69</v>
      </c>
      <c r="G35" s="1" t="s">
        <v>244</v>
      </c>
      <c r="H35" s="1">
        <v>3</v>
      </c>
      <c r="I35" s="3">
        <v>2746.07</v>
      </c>
      <c r="J35" s="3">
        <v>8238.2199999999993</v>
      </c>
      <c r="K35" s="3">
        <v>4564.6099999999997</v>
      </c>
      <c r="L35" s="3">
        <v>3673.61</v>
      </c>
      <c r="M35" s="1">
        <v>44.59</v>
      </c>
    </row>
    <row r="36" spans="1:13" x14ac:dyDescent="0.35">
      <c r="A36" s="1" t="s">
        <v>73</v>
      </c>
      <c r="B36" s="2">
        <v>45439</v>
      </c>
      <c r="C36" s="1" t="s">
        <v>17</v>
      </c>
      <c r="D36" s="1" t="s">
        <v>12</v>
      </c>
      <c r="E36" s="1" t="s">
        <v>13</v>
      </c>
      <c r="F36" s="1" t="s">
        <v>74</v>
      </c>
      <c r="G36" s="1" t="s">
        <v>244</v>
      </c>
      <c r="H36" s="1">
        <v>3</v>
      </c>
      <c r="I36" s="3">
        <v>4844.6000000000004</v>
      </c>
      <c r="J36" s="3">
        <v>14533.79</v>
      </c>
      <c r="K36" s="3">
        <v>9170.1</v>
      </c>
      <c r="L36" s="3">
        <v>5363.7</v>
      </c>
      <c r="M36" s="1">
        <v>36.9</v>
      </c>
    </row>
    <row r="37" spans="1:13" x14ac:dyDescent="0.35">
      <c r="A37" s="1" t="s">
        <v>75</v>
      </c>
      <c r="B37" s="2">
        <v>45439</v>
      </c>
      <c r="C37" s="1" t="s">
        <v>17</v>
      </c>
      <c r="D37" s="1" t="s">
        <v>12</v>
      </c>
      <c r="E37" s="1" t="s">
        <v>13</v>
      </c>
      <c r="F37" s="1" t="s">
        <v>14</v>
      </c>
      <c r="G37" s="1" t="s">
        <v>22</v>
      </c>
      <c r="H37" s="1">
        <v>7</v>
      </c>
      <c r="I37" s="3">
        <v>19683.650000000001</v>
      </c>
      <c r="J37" s="3">
        <v>137785.54999999999</v>
      </c>
      <c r="K37" s="3">
        <v>77676.89</v>
      </c>
      <c r="L37" s="3">
        <v>60108.66</v>
      </c>
      <c r="M37" s="1">
        <v>43.62</v>
      </c>
    </row>
    <row r="38" spans="1:13" x14ac:dyDescent="0.35">
      <c r="A38" s="1" t="s">
        <v>76</v>
      </c>
      <c r="B38" s="2">
        <v>45442</v>
      </c>
      <c r="C38" s="1" t="s">
        <v>17</v>
      </c>
      <c r="D38" s="1" t="s">
        <v>12</v>
      </c>
      <c r="E38" s="1" t="s">
        <v>18</v>
      </c>
      <c r="F38" s="1" t="s">
        <v>30</v>
      </c>
      <c r="G38" s="1" t="s">
        <v>15</v>
      </c>
      <c r="H38" s="1">
        <v>7</v>
      </c>
      <c r="I38" s="3">
        <v>54899.76</v>
      </c>
      <c r="J38" s="3">
        <v>384298.32</v>
      </c>
      <c r="K38" s="3">
        <v>242769.79</v>
      </c>
      <c r="L38" s="3">
        <v>141528.53</v>
      </c>
      <c r="M38" s="1">
        <v>36.83</v>
      </c>
    </row>
    <row r="39" spans="1:13" x14ac:dyDescent="0.35">
      <c r="A39" s="1" t="s">
        <v>77</v>
      </c>
      <c r="B39" s="2">
        <v>45351</v>
      </c>
      <c r="C39" s="1" t="s">
        <v>255</v>
      </c>
      <c r="D39" s="1" t="s">
        <v>34</v>
      </c>
      <c r="E39" s="1" t="s">
        <v>27</v>
      </c>
      <c r="F39" s="1" t="s">
        <v>78</v>
      </c>
      <c r="G39" s="1" t="s">
        <v>22</v>
      </c>
      <c r="H39" s="1">
        <v>6</v>
      </c>
      <c r="I39" s="3">
        <v>19486.080000000002</v>
      </c>
      <c r="J39" s="3">
        <v>116916.47</v>
      </c>
      <c r="K39" s="3">
        <v>74831.429999999993</v>
      </c>
      <c r="L39" s="3">
        <v>42085.04</v>
      </c>
      <c r="M39" s="1">
        <v>36</v>
      </c>
    </row>
    <row r="40" spans="1:13" x14ac:dyDescent="0.35">
      <c r="A40" s="1" t="s">
        <v>79</v>
      </c>
      <c r="B40" s="2">
        <v>45300</v>
      </c>
      <c r="C40" s="1" t="s">
        <v>258</v>
      </c>
      <c r="D40" s="1" t="s">
        <v>34</v>
      </c>
      <c r="E40" s="1" t="s">
        <v>27</v>
      </c>
      <c r="F40" s="1" t="s">
        <v>28</v>
      </c>
      <c r="G40" s="1" t="s">
        <v>15</v>
      </c>
      <c r="H40" s="1">
        <v>3</v>
      </c>
      <c r="I40" s="3">
        <v>57844.86</v>
      </c>
      <c r="J40" s="3">
        <v>173534.59</v>
      </c>
      <c r="K40" s="3">
        <v>102463.64</v>
      </c>
      <c r="L40" s="3">
        <v>71070.95</v>
      </c>
      <c r="M40" s="1">
        <v>40.950000000000003</v>
      </c>
    </row>
    <row r="41" spans="1:13" x14ac:dyDescent="0.35">
      <c r="A41" s="1" t="s">
        <v>80</v>
      </c>
      <c r="B41" s="2">
        <v>45452</v>
      </c>
      <c r="C41" s="1" t="s">
        <v>256</v>
      </c>
      <c r="D41" s="1" t="s">
        <v>12</v>
      </c>
      <c r="E41" s="1" t="s">
        <v>13</v>
      </c>
      <c r="F41" s="1" t="s">
        <v>74</v>
      </c>
      <c r="G41" s="1" t="s">
        <v>22</v>
      </c>
      <c r="H41" s="1">
        <v>4</v>
      </c>
      <c r="I41" s="3">
        <v>19492.77</v>
      </c>
      <c r="J41" s="3">
        <v>77971.08</v>
      </c>
      <c r="K41" s="3">
        <v>47612.49</v>
      </c>
      <c r="L41" s="3">
        <v>30358.59</v>
      </c>
      <c r="M41" s="1">
        <v>38.94</v>
      </c>
    </row>
    <row r="42" spans="1:13" x14ac:dyDescent="0.35">
      <c r="A42" s="1" t="s">
        <v>81</v>
      </c>
      <c r="B42" s="2">
        <v>45518</v>
      </c>
      <c r="C42" s="1" t="s">
        <v>257</v>
      </c>
      <c r="D42" s="1" t="s">
        <v>24</v>
      </c>
      <c r="E42" s="1" t="s">
        <v>18</v>
      </c>
      <c r="F42" s="1" t="s">
        <v>64</v>
      </c>
      <c r="G42" s="1" t="s">
        <v>15</v>
      </c>
      <c r="H42" s="1">
        <v>1</v>
      </c>
      <c r="I42" s="3">
        <v>45075.92</v>
      </c>
      <c r="J42" s="3">
        <v>45075.92</v>
      </c>
      <c r="K42" s="3">
        <v>25516.62</v>
      </c>
      <c r="L42" s="3">
        <v>19559.310000000001</v>
      </c>
      <c r="M42" s="1">
        <v>43.39</v>
      </c>
    </row>
    <row r="43" spans="1:13" x14ac:dyDescent="0.35">
      <c r="A43" s="1" t="s">
        <v>82</v>
      </c>
      <c r="B43" s="2">
        <v>45629</v>
      </c>
      <c r="C43" s="1" t="s">
        <v>252</v>
      </c>
      <c r="D43" s="1" t="s">
        <v>26</v>
      </c>
      <c r="E43" s="1" t="s">
        <v>35</v>
      </c>
      <c r="F43" s="1" t="s">
        <v>41</v>
      </c>
      <c r="G43" s="1" t="s">
        <v>15</v>
      </c>
      <c r="H43" s="1">
        <v>5</v>
      </c>
      <c r="I43" s="3">
        <v>48364.04</v>
      </c>
      <c r="J43" s="3">
        <v>241820.2</v>
      </c>
      <c r="K43" s="3">
        <v>150223.04000000001</v>
      </c>
      <c r="L43" s="3">
        <v>91597.16</v>
      </c>
      <c r="M43" s="1">
        <v>37.880000000000003</v>
      </c>
    </row>
    <row r="44" spans="1:13" x14ac:dyDescent="0.35">
      <c r="A44" s="1" t="s">
        <v>83</v>
      </c>
      <c r="B44" s="2">
        <v>45580</v>
      </c>
      <c r="C44" s="1" t="s">
        <v>260</v>
      </c>
      <c r="D44" s="1" t="s">
        <v>26</v>
      </c>
      <c r="E44" s="1" t="s">
        <v>18</v>
      </c>
      <c r="F44" s="1" t="s">
        <v>64</v>
      </c>
      <c r="G44" s="1" t="s">
        <v>244</v>
      </c>
      <c r="H44" s="1">
        <v>4</v>
      </c>
      <c r="I44" s="3">
        <v>3465.88</v>
      </c>
      <c r="J44" s="3">
        <v>13863.5</v>
      </c>
      <c r="K44" s="3">
        <v>8656.61</v>
      </c>
      <c r="L44" s="3">
        <v>5206.8900000000003</v>
      </c>
      <c r="M44" s="1">
        <v>37.56</v>
      </c>
    </row>
    <row r="45" spans="1:13" x14ac:dyDescent="0.35">
      <c r="A45" s="1" t="s">
        <v>84</v>
      </c>
      <c r="B45" s="2">
        <v>45486</v>
      </c>
      <c r="C45" s="1" t="s">
        <v>251</v>
      </c>
      <c r="D45" s="1" t="s">
        <v>24</v>
      </c>
      <c r="E45" s="1" t="s">
        <v>27</v>
      </c>
      <c r="F45" s="1" t="s">
        <v>54</v>
      </c>
      <c r="G45" s="1" t="s">
        <v>22</v>
      </c>
      <c r="H45" s="1">
        <v>4</v>
      </c>
      <c r="I45" s="3">
        <v>17544.07</v>
      </c>
      <c r="J45" s="3">
        <v>70176.28</v>
      </c>
      <c r="K45" s="3">
        <v>43062.5</v>
      </c>
      <c r="L45" s="3">
        <v>27113.78</v>
      </c>
      <c r="M45" s="1">
        <v>38.64</v>
      </c>
    </row>
    <row r="46" spans="1:13" x14ac:dyDescent="0.35">
      <c r="A46" s="1" t="s">
        <v>85</v>
      </c>
      <c r="B46" s="2">
        <v>45313</v>
      </c>
      <c r="C46" s="1" t="s">
        <v>258</v>
      </c>
      <c r="D46" s="1" t="s">
        <v>34</v>
      </c>
      <c r="E46" s="1" t="s">
        <v>18</v>
      </c>
      <c r="F46" s="1" t="s">
        <v>30</v>
      </c>
      <c r="G46" s="1" t="s">
        <v>39</v>
      </c>
      <c r="H46" s="1">
        <v>6</v>
      </c>
      <c r="I46" s="3">
        <v>30896.47</v>
      </c>
      <c r="J46" s="3">
        <v>185378.8</v>
      </c>
      <c r="K46" s="3">
        <v>118494.99</v>
      </c>
      <c r="L46" s="3">
        <v>66883.81</v>
      </c>
      <c r="M46" s="1">
        <v>36.08</v>
      </c>
    </row>
    <row r="47" spans="1:13" x14ac:dyDescent="0.35">
      <c r="A47" s="1" t="s">
        <v>86</v>
      </c>
      <c r="B47" s="2">
        <v>45574</v>
      </c>
      <c r="C47" s="1" t="s">
        <v>260</v>
      </c>
      <c r="D47" s="1" t="s">
        <v>26</v>
      </c>
      <c r="E47" s="1" t="s">
        <v>18</v>
      </c>
      <c r="F47" s="1" t="s">
        <v>21</v>
      </c>
      <c r="G47" s="1" t="s">
        <v>22</v>
      </c>
      <c r="H47" s="1">
        <v>6</v>
      </c>
      <c r="I47" s="3">
        <v>18225.52</v>
      </c>
      <c r="J47" s="3">
        <v>109353.1</v>
      </c>
      <c r="K47" s="3">
        <v>67459.100000000006</v>
      </c>
      <c r="L47" s="3">
        <v>41894</v>
      </c>
      <c r="M47" s="1">
        <v>38.31</v>
      </c>
    </row>
    <row r="48" spans="1:13" x14ac:dyDescent="0.35">
      <c r="A48" s="1" t="s">
        <v>87</v>
      </c>
      <c r="B48" s="2">
        <v>45608</v>
      </c>
      <c r="C48" s="1" t="s">
        <v>254</v>
      </c>
      <c r="D48" s="1" t="s">
        <v>26</v>
      </c>
      <c r="E48" s="1" t="s">
        <v>18</v>
      </c>
      <c r="F48" s="1" t="s">
        <v>88</v>
      </c>
      <c r="G48" s="1" t="s">
        <v>15</v>
      </c>
      <c r="H48" s="1">
        <v>1</v>
      </c>
      <c r="I48" s="3">
        <v>45654.06</v>
      </c>
      <c r="J48" s="3">
        <v>45654.06</v>
      </c>
      <c r="K48" s="3">
        <v>29650.26</v>
      </c>
      <c r="L48" s="3">
        <v>16003.8</v>
      </c>
      <c r="M48" s="1">
        <v>35.049999999999997</v>
      </c>
    </row>
    <row r="49" spans="1:13" x14ac:dyDescent="0.35">
      <c r="A49" s="1" t="s">
        <v>89</v>
      </c>
      <c r="B49" s="2">
        <v>45449</v>
      </c>
      <c r="C49" s="1" t="s">
        <v>256</v>
      </c>
      <c r="D49" s="1" t="s">
        <v>12</v>
      </c>
      <c r="E49" s="1" t="s">
        <v>13</v>
      </c>
      <c r="F49" s="1" t="s">
        <v>90</v>
      </c>
      <c r="G49" s="1" t="s">
        <v>22</v>
      </c>
      <c r="H49" s="1">
        <v>6</v>
      </c>
      <c r="I49" s="3">
        <v>16850.79</v>
      </c>
      <c r="J49" s="3">
        <v>101104.76</v>
      </c>
      <c r="K49" s="3">
        <v>55763.89</v>
      </c>
      <c r="L49" s="3">
        <v>45340.87</v>
      </c>
      <c r="M49" s="1">
        <v>44.85</v>
      </c>
    </row>
    <row r="50" spans="1:13" x14ac:dyDescent="0.35">
      <c r="A50" s="1" t="s">
        <v>91</v>
      </c>
      <c r="B50" s="2">
        <v>45571</v>
      </c>
      <c r="C50" s="1" t="s">
        <v>260</v>
      </c>
      <c r="D50" s="1" t="s">
        <v>26</v>
      </c>
      <c r="E50" s="1" t="s">
        <v>13</v>
      </c>
      <c r="F50" s="1" t="s">
        <v>19</v>
      </c>
      <c r="G50" s="1" t="s">
        <v>39</v>
      </c>
      <c r="H50" s="1">
        <v>5</v>
      </c>
      <c r="I50" s="3">
        <v>33584.39</v>
      </c>
      <c r="J50" s="3">
        <v>167921.94</v>
      </c>
      <c r="K50" s="3">
        <v>108818.98</v>
      </c>
      <c r="L50" s="3">
        <v>59102.95</v>
      </c>
      <c r="M50" s="1">
        <v>35.200000000000003</v>
      </c>
    </row>
    <row r="51" spans="1:13" x14ac:dyDescent="0.35">
      <c r="A51" s="1" t="s">
        <v>92</v>
      </c>
      <c r="B51" s="2">
        <v>45407</v>
      </c>
      <c r="C51" s="1" t="s">
        <v>250</v>
      </c>
      <c r="D51" s="1" t="s">
        <v>12</v>
      </c>
      <c r="E51" s="1" t="s">
        <v>13</v>
      </c>
      <c r="F51" s="1" t="s">
        <v>19</v>
      </c>
      <c r="G51" s="1" t="s">
        <v>244</v>
      </c>
      <c r="H51" s="1">
        <v>7</v>
      </c>
      <c r="I51" s="3">
        <v>3073.9</v>
      </c>
      <c r="J51" s="3">
        <v>21517.3</v>
      </c>
      <c r="K51" s="3">
        <v>12878.7</v>
      </c>
      <c r="L51" s="3">
        <v>8638.59</v>
      </c>
      <c r="M51" s="1">
        <v>40.15</v>
      </c>
    </row>
    <row r="52" spans="1:13" x14ac:dyDescent="0.35">
      <c r="A52" s="1" t="s">
        <v>93</v>
      </c>
      <c r="B52" s="2">
        <v>45309</v>
      </c>
      <c r="C52" s="1" t="s">
        <v>258</v>
      </c>
      <c r="D52" s="1" t="s">
        <v>34</v>
      </c>
      <c r="E52" s="1" t="s">
        <v>27</v>
      </c>
      <c r="F52" s="1" t="s">
        <v>78</v>
      </c>
      <c r="G52" s="1" t="s">
        <v>15</v>
      </c>
      <c r="H52" s="1">
        <v>6</v>
      </c>
      <c r="I52" s="3">
        <v>55440.45</v>
      </c>
      <c r="J52" s="3">
        <v>332642.68</v>
      </c>
      <c r="K52" s="3">
        <v>201916.14</v>
      </c>
      <c r="L52" s="3">
        <v>130726.54</v>
      </c>
      <c r="M52" s="1">
        <v>39.299999999999997</v>
      </c>
    </row>
    <row r="53" spans="1:13" x14ac:dyDescent="0.35">
      <c r="A53" s="1" t="s">
        <v>94</v>
      </c>
      <c r="B53" s="2">
        <v>45571</v>
      </c>
      <c r="C53" s="1" t="s">
        <v>260</v>
      </c>
      <c r="D53" s="1" t="s">
        <v>26</v>
      </c>
      <c r="E53" s="1" t="s">
        <v>35</v>
      </c>
      <c r="F53" s="1" t="s">
        <v>36</v>
      </c>
      <c r="G53" s="1" t="s">
        <v>15</v>
      </c>
      <c r="H53" s="1">
        <v>6</v>
      </c>
      <c r="I53" s="3">
        <v>50379.7</v>
      </c>
      <c r="J53" s="3">
        <v>302278.21000000002</v>
      </c>
      <c r="K53" s="3">
        <v>173935.83</v>
      </c>
      <c r="L53" s="3">
        <v>128342.38</v>
      </c>
      <c r="M53" s="1">
        <v>42.46</v>
      </c>
    </row>
    <row r="54" spans="1:13" x14ac:dyDescent="0.35">
      <c r="A54" s="1" t="s">
        <v>95</v>
      </c>
      <c r="B54" s="2">
        <v>45564</v>
      </c>
      <c r="C54" s="1" t="s">
        <v>253</v>
      </c>
      <c r="D54" s="1" t="s">
        <v>24</v>
      </c>
      <c r="E54" s="1" t="s">
        <v>27</v>
      </c>
      <c r="F54" s="1" t="s">
        <v>69</v>
      </c>
      <c r="G54" s="1" t="s">
        <v>15</v>
      </c>
      <c r="H54" s="1">
        <v>6</v>
      </c>
      <c r="I54" s="3">
        <v>50392.37</v>
      </c>
      <c r="J54" s="3">
        <v>302354.2</v>
      </c>
      <c r="K54" s="3">
        <v>175171.68</v>
      </c>
      <c r="L54" s="3">
        <v>127182.52</v>
      </c>
      <c r="M54" s="1">
        <v>42.06</v>
      </c>
    </row>
    <row r="55" spans="1:13" x14ac:dyDescent="0.35">
      <c r="A55" s="1" t="s">
        <v>96</v>
      </c>
      <c r="B55" s="2">
        <v>45538</v>
      </c>
      <c r="C55" s="1" t="s">
        <v>253</v>
      </c>
      <c r="D55" s="1" t="s">
        <v>24</v>
      </c>
      <c r="E55" s="1" t="s">
        <v>35</v>
      </c>
      <c r="F55" s="1" t="s">
        <v>97</v>
      </c>
      <c r="G55" s="1" t="s">
        <v>39</v>
      </c>
      <c r="H55" s="1">
        <v>1</v>
      </c>
      <c r="I55" s="3">
        <v>34172.71</v>
      </c>
      <c r="J55" s="3">
        <v>34172.71</v>
      </c>
      <c r="K55" s="3">
        <v>19073.82</v>
      </c>
      <c r="L55" s="3">
        <v>15098.89</v>
      </c>
      <c r="M55" s="1">
        <v>44.18</v>
      </c>
    </row>
    <row r="56" spans="1:13" x14ac:dyDescent="0.35">
      <c r="A56" s="1" t="s">
        <v>98</v>
      </c>
      <c r="B56" s="2">
        <v>45604</v>
      </c>
      <c r="C56" s="1" t="s">
        <v>254</v>
      </c>
      <c r="D56" s="1" t="s">
        <v>26</v>
      </c>
      <c r="E56" s="1" t="s">
        <v>13</v>
      </c>
      <c r="F56" s="1" t="s">
        <v>14</v>
      </c>
      <c r="G56" s="1" t="s">
        <v>244</v>
      </c>
      <c r="H56" s="1">
        <v>1</v>
      </c>
      <c r="I56" s="3">
        <v>2283.7600000000002</v>
      </c>
      <c r="J56" s="3">
        <v>2283.7600000000002</v>
      </c>
      <c r="K56" s="3">
        <v>1346.69</v>
      </c>
      <c r="L56" s="3">
        <v>937.08</v>
      </c>
      <c r="M56" s="1">
        <v>41.03</v>
      </c>
    </row>
    <row r="57" spans="1:13" x14ac:dyDescent="0.35">
      <c r="A57" s="1" t="s">
        <v>99</v>
      </c>
      <c r="B57" s="2">
        <v>45433</v>
      </c>
      <c r="C57" s="1" t="s">
        <v>17</v>
      </c>
      <c r="D57" s="1" t="s">
        <v>12</v>
      </c>
      <c r="E57" s="1" t="s">
        <v>13</v>
      </c>
      <c r="F57" s="1" t="s">
        <v>74</v>
      </c>
      <c r="G57" s="1" t="s">
        <v>15</v>
      </c>
      <c r="H57" s="1">
        <v>7</v>
      </c>
      <c r="I57" s="3">
        <v>50633.74</v>
      </c>
      <c r="J57" s="3">
        <v>354436.21</v>
      </c>
      <c r="K57" s="3">
        <v>198270.98</v>
      </c>
      <c r="L57" s="3">
        <v>156165.23000000001</v>
      </c>
      <c r="M57" s="1">
        <v>44.06</v>
      </c>
    </row>
    <row r="58" spans="1:13" x14ac:dyDescent="0.35">
      <c r="A58" s="1" t="s">
        <v>100</v>
      </c>
      <c r="B58" s="2">
        <v>45506</v>
      </c>
      <c r="C58" s="1" t="s">
        <v>257</v>
      </c>
      <c r="D58" s="1" t="s">
        <v>24</v>
      </c>
      <c r="E58" s="1" t="s">
        <v>18</v>
      </c>
      <c r="F58" s="1" t="s">
        <v>52</v>
      </c>
      <c r="G58" s="1" t="s">
        <v>22</v>
      </c>
      <c r="H58" s="1">
        <v>2</v>
      </c>
      <c r="I58" s="3">
        <v>17713.22</v>
      </c>
      <c r="J58" s="3">
        <v>35426.449999999997</v>
      </c>
      <c r="K58" s="3">
        <v>20499.66</v>
      </c>
      <c r="L58" s="3">
        <v>14926.79</v>
      </c>
      <c r="M58" s="1">
        <v>42.13</v>
      </c>
    </row>
    <row r="59" spans="1:13" x14ac:dyDescent="0.35">
      <c r="A59" s="1" t="s">
        <v>101</v>
      </c>
      <c r="B59" s="2">
        <v>45605</v>
      </c>
      <c r="C59" s="1" t="s">
        <v>254</v>
      </c>
      <c r="D59" s="1" t="s">
        <v>26</v>
      </c>
      <c r="E59" s="1" t="s">
        <v>35</v>
      </c>
      <c r="F59" s="1" t="s">
        <v>41</v>
      </c>
      <c r="G59" s="1" t="s">
        <v>22</v>
      </c>
      <c r="H59" s="1">
        <v>4</v>
      </c>
      <c r="I59" s="3">
        <v>15194.17</v>
      </c>
      <c r="J59" s="3">
        <v>60776.69</v>
      </c>
      <c r="K59" s="3">
        <v>35270.33</v>
      </c>
      <c r="L59" s="3">
        <v>25506.37</v>
      </c>
      <c r="M59" s="1">
        <v>41.97</v>
      </c>
    </row>
    <row r="60" spans="1:13" x14ac:dyDescent="0.35">
      <c r="A60" s="1" t="s">
        <v>102</v>
      </c>
      <c r="B60" s="2">
        <v>45392</v>
      </c>
      <c r="C60" s="1" t="s">
        <v>250</v>
      </c>
      <c r="D60" s="1" t="s">
        <v>12</v>
      </c>
      <c r="E60" s="1" t="s">
        <v>27</v>
      </c>
      <c r="F60" s="1" t="s">
        <v>54</v>
      </c>
      <c r="G60" s="1" t="s">
        <v>22</v>
      </c>
      <c r="H60" s="1">
        <v>4</v>
      </c>
      <c r="I60" s="3">
        <v>16079.11</v>
      </c>
      <c r="J60" s="3">
        <v>64316.42</v>
      </c>
      <c r="K60" s="3">
        <v>39380.239999999998</v>
      </c>
      <c r="L60" s="3">
        <v>24936.18</v>
      </c>
      <c r="M60" s="1">
        <v>38.770000000000003</v>
      </c>
    </row>
    <row r="61" spans="1:13" x14ac:dyDescent="0.35">
      <c r="A61" s="1" t="s">
        <v>103</v>
      </c>
      <c r="B61" s="2">
        <v>45487</v>
      </c>
      <c r="C61" s="1" t="s">
        <v>251</v>
      </c>
      <c r="D61" s="1" t="s">
        <v>24</v>
      </c>
      <c r="E61" s="1" t="s">
        <v>18</v>
      </c>
      <c r="F61" s="1" t="s">
        <v>64</v>
      </c>
      <c r="G61" s="1" t="s">
        <v>244</v>
      </c>
      <c r="H61" s="1">
        <v>4</v>
      </c>
      <c r="I61" s="3">
        <v>3645.42</v>
      </c>
      <c r="J61" s="3">
        <v>14581.66</v>
      </c>
      <c r="K61" s="3">
        <v>9039.92</v>
      </c>
      <c r="L61" s="3">
        <v>5541.74</v>
      </c>
      <c r="M61" s="1">
        <v>38</v>
      </c>
    </row>
    <row r="62" spans="1:13" x14ac:dyDescent="0.35">
      <c r="A62" s="1" t="s">
        <v>104</v>
      </c>
      <c r="B62" s="2">
        <v>45599</v>
      </c>
      <c r="C62" s="1" t="s">
        <v>254</v>
      </c>
      <c r="D62" s="1" t="s">
        <v>26</v>
      </c>
      <c r="E62" s="1" t="s">
        <v>13</v>
      </c>
      <c r="F62" s="1" t="s">
        <v>90</v>
      </c>
      <c r="G62" s="1" t="s">
        <v>244</v>
      </c>
      <c r="H62" s="1">
        <v>2</v>
      </c>
      <c r="I62" s="3">
        <v>3291.83</v>
      </c>
      <c r="J62" s="3">
        <v>6583.65</v>
      </c>
      <c r="K62" s="3">
        <v>4144.53</v>
      </c>
      <c r="L62" s="3">
        <v>2439.12</v>
      </c>
      <c r="M62" s="1">
        <v>37.049999999999997</v>
      </c>
    </row>
    <row r="63" spans="1:13" x14ac:dyDescent="0.35">
      <c r="A63" s="1" t="s">
        <v>105</v>
      </c>
      <c r="B63" s="2">
        <v>45610</v>
      </c>
      <c r="C63" s="1" t="s">
        <v>254</v>
      </c>
      <c r="D63" s="1" t="s">
        <v>26</v>
      </c>
      <c r="E63" s="1" t="s">
        <v>18</v>
      </c>
      <c r="F63" s="1" t="s">
        <v>88</v>
      </c>
      <c r="G63" s="1" t="s">
        <v>39</v>
      </c>
      <c r="H63" s="1">
        <v>7</v>
      </c>
      <c r="I63" s="3">
        <v>28762.91</v>
      </c>
      <c r="J63" s="3">
        <v>201340.36</v>
      </c>
      <c r="K63" s="3">
        <v>114448.58</v>
      </c>
      <c r="L63" s="3">
        <v>86891.78</v>
      </c>
      <c r="M63" s="1">
        <v>43.16</v>
      </c>
    </row>
    <row r="64" spans="1:13" x14ac:dyDescent="0.35">
      <c r="A64" s="1" t="s">
        <v>106</v>
      </c>
      <c r="B64" s="2">
        <v>45609</v>
      </c>
      <c r="C64" s="1" t="s">
        <v>254</v>
      </c>
      <c r="D64" s="1" t="s">
        <v>26</v>
      </c>
      <c r="E64" s="1" t="s">
        <v>27</v>
      </c>
      <c r="F64" s="1" t="s">
        <v>54</v>
      </c>
      <c r="G64" s="1" t="s">
        <v>22</v>
      </c>
      <c r="H64" s="1">
        <v>1</v>
      </c>
      <c r="I64" s="3">
        <v>15866.47</v>
      </c>
      <c r="J64" s="3">
        <v>15866.47</v>
      </c>
      <c r="K64" s="3">
        <v>8974.77</v>
      </c>
      <c r="L64" s="3">
        <v>6891.7</v>
      </c>
      <c r="M64" s="1">
        <v>43.44</v>
      </c>
    </row>
    <row r="65" spans="1:13" x14ac:dyDescent="0.35">
      <c r="A65" s="1" t="s">
        <v>107</v>
      </c>
      <c r="B65" s="2">
        <v>45581</v>
      </c>
      <c r="C65" s="1" t="s">
        <v>260</v>
      </c>
      <c r="D65" s="1" t="s">
        <v>26</v>
      </c>
      <c r="E65" s="1" t="s">
        <v>18</v>
      </c>
      <c r="F65" s="1" t="s">
        <v>30</v>
      </c>
      <c r="G65" s="1" t="s">
        <v>244</v>
      </c>
      <c r="H65" s="1">
        <v>1</v>
      </c>
      <c r="I65" s="3">
        <v>4640.79</v>
      </c>
      <c r="J65" s="3">
        <v>4640.79</v>
      </c>
      <c r="K65" s="3">
        <v>2682.35</v>
      </c>
      <c r="L65" s="3">
        <v>1958.44</v>
      </c>
      <c r="M65" s="1">
        <v>42.2</v>
      </c>
    </row>
    <row r="66" spans="1:13" x14ac:dyDescent="0.35">
      <c r="A66" s="1" t="s">
        <v>108</v>
      </c>
      <c r="B66" s="2">
        <v>45563</v>
      </c>
      <c r="C66" s="1" t="s">
        <v>253</v>
      </c>
      <c r="D66" s="1" t="s">
        <v>24</v>
      </c>
      <c r="E66" s="1" t="s">
        <v>13</v>
      </c>
      <c r="F66" s="1" t="s">
        <v>109</v>
      </c>
      <c r="G66" s="1" t="s">
        <v>244</v>
      </c>
      <c r="H66" s="1">
        <v>7</v>
      </c>
      <c r="I66" s="3">
        <v>3742.69</v>
      </c>
      <c r="J66" s="3">
        <v>26198.84</v>
      </c>
      <c r="K66" s="3">
        <v>16321.98</v>
      </c>
      <c r="L66" s="3">
        <v>9876.86</v>
      </c>
      <c r="M66" s="1">
        <v>37.700000000000003</v>
      </c>
    </row>
    <row r="67" spans="1:13" x14ac:dyDescent="0.35">
      <c r="A67" s="1" t="s">
        <v>110</v>
      </c>
      <c r="B67" s="2">
        <v>45367</v>
      </c>
      <c r="C67" s="1" t="s">
        <v>259</v>
      </c>
      <c r="D67" s="1" t="s">
        <v>34</v>
      </c>
      <c r="E67" s="1" t="s">
        <v>35</v>
      </c>
      <c r="F67" s="1" t="s">
        <v>36</v>
      </c>
      <c r="G67" s="1" t="s">
        <v>15</v>
      </c>
      <c r="H67" s="1">
        <v>5</v>
      </c>
      <c r="I67" s="3">
        <v>46802.47</v>
      </c>
      <c r="J67" s="3">
        <v>234012.35</v>
      </c>
      <c r="K67" s="3">
        <v>136707.20000000001</v>
      </c>
      <c r="L67" s="3">
        <v>97305.15</v>
      </c>
      <c r="M67" s="1">
        <v>41.58</v>
      </c>
    </row>
    <row r="68" spans="1:13" x14ac:dyDescent="0.35">
      <c r="A68" s="1" t="s">
        <v>111</v>
      </c>
      <c r="B68" s="2">
        <v>45511</v>
      </c>
      <c r="C68" s="1" t="s">
        <v>257</v>
      </c>
      <c r="D68" s="1" t="s">
        <v>24</v>
      </c>
      <c r="E68" s="1" t="s">
        <v>13</v>
      </c>
      <c r="F68" s="1" t="s">
        <v>109</v>
      </c>
      <c r="G68" s="1" t="s">
        <v>22</v>
      </c>
      <c r="H68" s="1">
        <v>6</v>
      </c>
      <c r="I68" s="3">
        <v>19277.3</v>
      </c>
      <c r="J68" s="3">
        <v>115663.82</v>
      </c>
      <c r="K68" s="3">
        <v>71753.88</v>
      </c>
      <c r="L68" s="3">
        <v>43909.94</v>
      </c>
      <c r="M68" s="1">
        <v>37.96</v>
      </c>
    </row>
    <row r="69" spans="1:13" x14ac:dyDescent="0.35">
      <c r="A69" s="1" t="s">
        <v>112</v>
      </c>
      <c r="B69" s="2">
        <v>45495</v>
      </c>
      <c r="C69" s="1" t="s">
        <v>251</v>
      </c>
      <c r="D69" s="1" t="s">
        <v>24</v>
      </c>
      <c r="E69" s="1" t="s">
        <v>35</v>
      </c>
      <c r="F69" s="1" t="s">
        <v>41</v>
      </c>
      <c r="G69" s="1" t="s">
        <v>244</v>
      </c>
      <c r="H69" s="1">
        <v>5</v>
      </c>
      <c r="I69" s="3">
        <v>3893.89</v>
      </c>
      <c r="J69" s="3">
        <v>19469.439999999999</v>
      </c>
      <c r="K69" s="3">
        <v>11045.4</v>
      </c>
      <c r="L69" s="3">
        <v>8424.0300000000007</v>
      </c>
      <c r="M69" s="1">
        <v>43.27</v>
      </c>
    </row>
    <row r="70" spans="1:13" x14ac:dyDescent="0.35">
      <c r="A70" s="1" t="s">
        <v>113</v>
      </c>
      <c r="B70" s="2">
        <v>45513</v>
      </c>
      <c r="C70" s="1" t="s">
        <v>257</v>
      </c>
      <c r="D70" s="1" t="s">
        <v>24</v>
      </c>
      <c r="E70" s="1" t="s">
        <v>13</v>
      </c>
      <c r="F70" s="1" t="s">
        <v>109</v>
      </c>
      <c r="G70" s="1" t="s">
        <v>39</v>
      </c>
      <c r="H70" s="1">
        <v>2</v>
      </c>
      <c r="I70" s="3">
        <v>39237.19</v>
      </c>
      <c r="J70" s="3">
        <v>78474.37</v>
      </c>
      <c r="K70" s="3">
        <v>50119.07</v>
      </c>
      <c r="L70" s="3">
        <v>28355.3</v>
      </c>
      <c r="M70" s="1">
        <v>36.130000000000003</v>
      </c>
    </row>
    <row r="71" spans="1:13" x14ac:dyDescent="0.35">
      <c r="A71" s="1" t="s">
        <v>114</v>
      </c>
      <c r="B71" s="2">
        <v>45471</v>
      </c>
      <c r="C71" s="1" t="s">
        <v>256</v>
      </c>
      <c r="D71" s="1" t="s">
        <v>12</v>
      </c>
      <c r="E71" s="1" t="s">
        <v>35</v>
      </c>
      <c r="F71" s="1" t="s">
        <v>41</v>
      </c>
      <c r="G71" s="1" t="s">
        <v>15</v>
      </c>
      <c r="H71" s="1">
        <v>2</v>
      </c>
      <c r="I71" s="3">
        <v>52515.6</v>
      </c>
      <c r="J71" s="3">
        <v>105031.2</v>
      </c>
      <c r="K71" s="3">
        <v>63432.3</v>
      </c>
      <c r="L71" s="3">
        <v>41598.89</v>
      </c>
      <c r="M71" s="1">
        <v>39.61</v>
      </c>
    </row>
    <row r="72" spans="1:13" x14ac:dyDescent="0.35">
      <c r="A72" s="1" t="s">
        <v>115</v>
      </c>
      <c r="B72" s="2">
        <v>45295</v>
      </c>
      <c r="C72" s="1" t="s">
        <v>258</v>
      </c>
      <c r="D72" s="1" t="s">
        <v>34</v>
      </c>
      <c r="E72" s="1" t="s">
        <v>35</v>
      </c>
      <c r="F72" s="1" t="s">
        <v>44</v>
      </c>
      <c r="G72" s="1" t="s">
        <v>244</v>
      </c>
      <c r="H72" s="1">
        <v>3</v>
      </c>
      <c r="I72" s="3">
        <v>5203.8</v>
      </c>
      <c r="J72" s="3">
        <v>15611.39</v>
      </c>
      <c r="K72" s="3">
        <v>9643.42</v>
      </c>
      <c r="L72" s="3">
        <v>5967.97</v>
      </c>
      <c r="M72" s="1">
        <v>38.229999999999997</v>
      </c>
    </row>
    <row r="73" spans="1:13" x14ac:dyDescent="0.35">
      <c r="A73" s="1" t="s">
        <v>116</v>
      </c>
      <c r="B73" s="2">
        <v>45454</v>
      </c>
      <c r="C73" s="1" t="s">
        <v>256</v>
      </c>
      <c r="D73" s="1" t="s">
        <v>12</v>
      </c>
      <c r="E73" s="1" t="s">
        <v>13</v>
      </c>
      <c r="F73" s="1" t="s">
        <v>14</v>
      </c>
      <c r="G73" s="1" t="s">
        <v>22</v>
      </c>
      <c r="H73" s="1">
        <v>5</v>
      </c>
      <c r="I73" s="3">
        <v>17728.080000000002</v>
      </c>
      <c r="J73" s="3">
        <v>88640.42</v>
      </c>
      <c r="K73" s="3">
        <v>57097.41</v>
      </c>
      <c r="L73" s="3">
        <v>31543.01</v>
      </c>
      <c r="M73" s="1">
        <v>35.590000000000003</v>
      </c>
    </row>
    <row r="74" spans="1:13" x14ac:dyDescent="0.35">
      <c r="A74" s="1" t="s">
        <v>117</v>
      </c>
      <c r="B74" s="2">
        <v>45614</v>
      </c>
      <c r="C74" s="1" t="s">
        <v>254</v>
      </c>
      <c r="D74" s="1" t="s">
        <v>26</v>
      </c>
      <c r="E74" s="1" t="s">
        <v>27</v>
      </c>
      <c r="F74" s="1" t="s">
        <v>69</v>
      </c>
      <c r="G74" s="1" t="s">
        <v>244</v>
      </c>
      <c r="H74" s="1">
        <v>2</v>
      </c>
      <c r="I74" s="3">
        <v>2826.74</v>
      </c>
      <c r="J74" s="3">
        <v>5653.47</v>
      </c>
      <c r="K74" s="3">
        <v>3264.29</v>
      </c>
      <c r="L74" s="3">
        <v>2389.1799999999998</v>
      </c>
      <c r="M74" s="1">
        <v>42.26</v>
      </c>
    </row>
    <row r="75" spans="1:13" x14ac:dyDescent="0.35">
      <c r="A75" s="1" t="s">
        <v>118</v>
      </c>
      <c r="B75" s="2">
        <v>45303</v>
      </c>
      <c r="C75" s="1" t="s">
        <v>258</v>
      </c>
      <c r="D75" s="1" t="s">
        <v>34</v>
      </c>
      <c r="E75" s="1" t="s">
        <v>18</v>
      </c>
      <c r="F75" s="1" t="s">
        <v>30</v>
      </c>
      <c r="G75" s="1" t="s">
        <v>22</v>
      </c>
      <c r="H75" s="1">
        <v>3</v>
      </c>
      <c r="I75" s="3">
        <v>18091.27</v>
      </c>
      <c r="J75" s="3">
        <v>54273.81</v>
      </c>
      <c r="K75" s="3">
        <v>31677.200000000001</v>
      </c>
      <c r="L75" s="3">
        <v>22596.61</v>
      </c>
      <c r="M75" s="1">
        <v>41.63</v>
      </c>
    </row>
    <row r="76" spans="1:13" x14ac:dyDescent="0.35">
      <c r="A76" s="1" t="s">
        <v>119</v>
      </c>
      <c r="B76" s="2">
        <v>45381</v>
      </c>
      <c r="C76" s="1" t="s">
        <v>259</v>
      </c>
      <c r="D76" s="1" t="s">
        <v>34</v>
      </c>
      <c r="E76" s="1" t="s">
        <v>13</v>
      </c>
      <c r="F76" s="1" t="s">
        <v>90</v>
      </c>
      <c r="G76" s="1" t="s">
        <v>39</v>
      </c>
      <c r="H76" s="1">
        <v>2</v>
      </c>
      <c r="I76" s="3">
        <v>30109.37</v>
      </c>
      <c r="J76" s="3">
        <v>60218.74</v>
      </c>
      <c r="K76" s="3">
        <v>34690.17</v>
      </c>
      <c r="L76" s="3">
        <v>25528.560000000001</v>
      </c>
      <c r="M76" s="1">
        <v>42.39</v>
      </c>
    </row>
    <row r="77" spans="1:13" x14ac:dyDescent="0.35">
      <c r="A77" s="1" t="s">
        <v>120</v>
      </c>
      <c r="B77" s="2">
        <v>45487</v>
      </c>
      <c r="C77" s="1" t="s">
        <v>251</v>
      </c>
      <c r="D77" s="1" t="s">
        <v>24</v>
      </c>
      <c r="E77" s="1" t="s">
        <v>35</v>
      </c>
      <c r="F77" s="1" t="s">
        <v>44</v>
      </c>
      <c r="G77" s="1" t="s">
        <v>39</v>
      </c>
      <c r="H77" s="1">
        <v>5</v>
      </c>
      <c r="I77" s="3">
        <v>39049.72</v>
      </c>
      <c r="J77" s="3">
        <v>195248.61</v>
      </c>
      <c r="K77" s="3">
        <v>108151.84</v>
      </c>
      <c r="L77" s="3">
        <v>87096.77</v>
      </c>
      <c r="M77" s="1">
        <v>44.61</v>
      </c>
    </row>
    <row r="78" spans="1:13" x14ac:dyDescent="0.35">
      <c r="A78" s="1" t="s">
        <v>121</v>
      </c>
      <c r="B78" s="2">
        <v>45508</v>
      </c>
      <c r="C78" s="1" t="s">
        <v>257</v>
      </c>
      <c r="D78" s="1" t="s">
        <v>24</v>
      </c>
      <c r="E78" s="1" t="s">
        <v>13</v>
      </c>
      <c r="F78" s="1" t="s">
        <v>19</v>
      </c>
      <c r="G78" s="1" t="s">
        <v>22</v>
      </c>
      <c r="H78" s="1">
        <v>4</v>
      </c>
      <c r="I78" s="3">
        <v>15887.2</v>
      </c>
      <c r="J78" s="3">
        <v>63548.79</v>
      </c>
      <c r="K78" s="3">
        <v>39721.9</v>
      </c>
      <c r="L78" s="3">
        <v>23826.89</v>
      </c>
      <c r="M78" s="1">
        <v>37.49</v>
      </c>
    </row>
    <row r="79" spans="1:13" x14ac:dyDescent="0.35">
      <c r="A79" s="1" t="s">
        <v>122</v>
      </c>
      <c r="B79" s="2">
        <v>45483</v>
      </c>
      <c r="C79" s="1" t="s">
        <v>251</v>
      </c>
      <c r="D79" s="1" t="s">
        <v>24</v>
      </c>
      <c r="E79" s="1" t="s">
        <v>18</v>
      </c>
      <c r="F79" s="1" t="s">
        <v>56</v>
      </c>
      <c r="G79" s="1" t="s">
        <v>15</v>
      </c>
      <c r="H79" s="1">
        <v>4</v>
      </c>
      <c r="I79" s="3">
        <v>50580.27</v>
      </c>
      <c r="J79" s="3">
        <v>202321.09</v>
      </c>
      <c r="K79" s="3">
        <v>126985.07</v>
      </c>
      <c r="L79" s="3">
        <v>75336.02</v>
      </c>
      <c r="M79" s="1">
        <v>37.24</v>
      </c>
    </row>
    <row r="80" spans="1:13" x14ac:dyDescent="0.35">
      <c r="A80" s="1" t="s">
        <v>123</v>
      </c>
      <c r="B80" s="2">
        <v>45443</v>
      </c>
      <c r="C80" s="1" t="s">
        <v>17</v>
      </c>
      <c r="D80" s="1" t="s">
        <v>12</v>
      </c>
      <c r="E80" s="1" t="s">
        <v>18</v>
      </c>
      <c r="F80" s="1" t="s">
        <v>49</v>
      </c>
      <c r="G80" s="1" t="s">
        <v>22</v>
      </c>
      <c r="H80" s="1">
        <v>4</v>
      </c>
      <c r="I80" s="3">
        <v>17144.97</v>
      </c>
      <c r="J80" s="3">
        <v>68579.88</v>
      </c>
      <c r="K80" s="3">
        <v>42868.4</v>
      </c>
      <c r="L80" s="3">
        <v>25711.48</v>
      </c>
      <c r="M80" s="1">
        <v>37.49</v>
      </c>
    </row>
    <row r="81" spans="1:13" x14ac:dyDescent="0.35">
      <c r="A81" s="1" t="s">
        <v>124</v>
      </c>
      <c r="B81" s="2">
        <v>45508</v>
      </c>
      <c r="C81" s="1" t="s">
        <v>257</v>
      </c>
      <c r="D81" s="1" t="s">
        <v>24</v>
      </c>
      <c r="E81" s="1" t="s">
        <v>18</v>
      </c>
      <c r="F81" s="1" t="s">
        <v>56</v>
      </c>
      <c r="G81" s="1" t="s">
        <v>39</v>
      </c>
      <c r="H81" s="1">
        <v>1</v>
      </c>
      <c r="I81" s="3">
        <v>33014.910000000003</v>
      </c>
      <c r="J81" s="3">
        <v>33014.910000000003</v>
      </c>
      <c r="K81" s="3">
        <v>19797.59</v>
      </c>
      <c r="L81" s="3">
        <v>13217.32</v>
      </c>
      <c r="M81" s="1">
        <v>40.03</v>
      </c>
    </row>
    <row r="82" spans="1:13" x14ac:dyDescent="0.35">
      <c r="A82" s="1" t="s">
        <v>125</v>
      </c>
      <c r="B82" s="2">
        <v>45508</v>
      </c>
      <c r="C82" s="1" t="s">
        <v>257</v>
      </c>
      <c r="D82" s="1" t="s">
        <v>24</v>
      </c>
      <c r="E82" s="1" t="s">
        <v>18</v>
      </c>
      <c r="F82" s="1" t="s">
        <v>64</v>
      </c>
      <c r="G82" s="1" t="s">
        <v>15</v>
      </c>
      <c r="H82" s="1">
        <v>3</v>
      </c>
      <c r="I82" s="3">
        <v>50838.03</v>
      </c>
      <c r="J82" s="3">
        <v>152514.07999999999</v>
      </c>
      <c r="K82" s="3">
        <v>84048.03</v>
      </c>
      <c r="L82" s="3">
        <v>68466.039999999994</v>
      </c>
      <c r="M82" s="1">
        <v>44.89</v>
      </c>
    </row>
    <row r="83" spans="1:13" x14ac:dyDescent="0.35">
      <c r="A83" s="1" t="s">
        <v>126</v>
      </c>
      <c r="B83" s="2">
        <v>45524</v>
      </c>
      <c r="C83" s="1" t="s">
        <v>257</v>
      </c>
      <c r="D83" s="1" t="s">
        <v>24</v>
      </c>
      <c r="E83" s="1" t="s">
        <v>18</v>
      </c>
      <c r="F83" s="1" t="s">
        <v>88</v>
      </c>
      <c r="G83" s="1" t="s">
        <v>22</v>
      </c>
      <c r="H83" s="1">
        <v>7</v>
      </c>
      <c r="I83" s="3">
        <v>19784</v>
      </c>
      <c r="J83" s="3">
        <v>138488.03</v>
      </c>
      <c r="K83" s="3">
        <v>85540.87</v>
      </c>
      <c r="L83" s="3">
        <v>52947.16</v>
      </c>
      <c r="M83" s="1">
        <v>38.229999999999997</v>
      </c>
    </row>
    <row r="84" spans="1:13" x14ac:dyDescent="0.35">
      <c r="A84" s="1" t="s">
        <v>127</v>
      </c>
      <c r="B84" s="2">
        <v>45343</v>
      </c>
      <c r="C84" s="1" t="s">
        <v>255</v>
      </c>
      <c r="D84" s="1" t="s">
        <v>34</v>
      </c>
      <c r="E84" s="1" t="s">
        <v>18</v>
      </c>
      <c r="F84" s="1" t="s">
        <v>21</v>
      </c>
      <c r="G84" s="1" t="s">
        <v>15</v>
      </c>
      <c r="H84" s="1">
        <v>5</v>
      </c>
      <c r="I84" s="3">
        <v>46375.56</v>
      </c>
      <c r="J84" s="3">
        <v>231877.81</v>
      </c>
      <c r="K84" s="3">
        <v>141502.06</v>
      </c>
      <c r="L84" s="3">
        <v>90375.75</v>
      </c>
      <c r="M84" s="1">
        <v>38.979999999999997</v>
      </c>
    </row>
    <row r="85" spans="1:13" x14ac:dyDescent="0.35">
      <c r="A85" s="1" t="s">
        <v>128</v>
      </c>
      <c r="B85" s="2">
        <v>45344</v>
      </c>
      <c r="C85" s="1" t="s">
        <v>255</v>
      </c>
      <c r="D85" s="1" t="s">
        <v>34</v>
      </c>
      <c r="E85" s="1" t="s">
        <v>27</v>
      </c>
      <c r="F85" s="1" t="s">
        <v>28</v>
      </c>
      <c r="G85" s="1" t="s">
        <v>22</v>
      </c>
      <c r="H85" s="1">
        <v>5</v>
      </c>
      <c r="I85" s="3">
        <v>17472.099999999999</v>
      </c>
      <c r="J85" s="3">
        <v>87360.51</v>
      </c>
      <c r="K85" s="3">
        <v>48551.12</v>
      </c>
      <c r="L85" s="3">
        <v>38809.39</v>
      </c>
      <c r="M85" s="1">
        <v>44.42</v>
      </c>
    </row>
    <row r="86" spans="1:13" x14ac:dyDescent="0.35">
      <c r="A86" s="1" t="s">
        <v>129</v>
      </c>
      <c r="B86" s="2">
        <v>45514</v>
      </c>
      <c r="C86" s="1" t="s">
        <v>257</v>
      </c>
      <c r="D86" s="1" t="s">
        <v>24</v>
      </c>
      <c r="E86" s="1" t="s">
        <v>35</v>
      </c>
      <c r="F86" s="1" t="s">
        <v>44</v>
      </c>
      <c r="G86" s="1" t="s">
        <v>15</v>
      </c>
      <c r="H86" s="1">
        <v>7</v>
      </c>
      <c r="I86" s="3">
        <v>53188.74</v>
      </c>
      <c r="J86" s="3">
        <v>372321.16</v>
      </c>
      <c r="K86" s="3">
        <v>231056.24</v>
      </c>
      <c r="L86" s="3">
        <v>141264.92000000001</v>
      </c>
      <c r="M86" s="1">
        <v>37.94</v>
      </c>
    </row>
    <row r="87" spans="1:13" x14ac:dyDescent="0.35">
      <c r="A87" s="1" t="s">
        <v>130</v>
      </c>
      <c r="B87" s="2">
        <v>45530</v>
      </c>
      <c r="C87" s="1" t="s">
        <v>257</v>
      </c>
      <c r="D87" s="1" t="s">
        <v>24</v>
      </c>
      <c r="E87" s="1" t="s">
        <v>13</v>
      </c>
      <c r="F87" s="1" t="s">
        <v>14</v>
      </c>
      <c r="G87" s="1" t="s">
        <v>39</v>
      </c>
      <c r="H87" s="1">
        <v>2</v>
      </c>
      <c r="I87" s="3">
        <v>34273.269999999997</v>
      </c>
      <c r="J87" s="3">
        <v>68546.539999999994</v>
      </c>
      <c r="K87" s="3">
        <v>38393.760000000002</v>
      </c>
      <c r="L87" s="3">
        <v>30152.78</v>
      </c>
      <c r="M87" s="1">
        <v>43.99</v>
      </c>
    </row>
    <row r="88" spans="1:13" x14ac:dyDescent="0.35">
      <c r="A88" s="1" t="s">
        <v>131</v>
      </c>
      <c r="B88" s="2">
        <v>45298</v>
      </c>
      <c r="C88" s="1" t="s">
        <v>258</v>
      </c>
      <c r="D88" s="1" t="s">
        <v>34</v>
      </c>
      <c r="E88" s="1" t="s">
        <v>18</v>
      </c>
      <c r="F88" s="1" t="s">
        <v>64</v>
      </c>
      <c r="G88" s="1" t="s">
        <v>244</v>
      </c>
      <c r="H88" s="1">
        <v>2</v>
      </c>
      <c r="I88" s="3">
        <v>3586.61</v>
      </c>
      <c r="J88" s="3">
        <v>7173.21</v>
      </c>
      <c r="K88" s="3">
        <v>4585.04</v>
      </c>
      <c r="L88" s="3">
        <v>2588.17</v>
      </c>
      <c r="M88" s="1">
        <v>36.08</v>
      </c>
    </row>
    <row r="89" spans="1:13" x14ac:dyDescent="0.35">
      <c r="A89" s="1" t="s">
        <v>132</v>
      </c>
      <c r="B89" s="2">
        <v>45485</v>
      </c>
      <c r="C89" s="1" t="s">
        <v>251</v>
      </c>
      <c r="D89" s="1" t="s">
        <v>24</v>
      </c>
      <c r="E89" s="1" t="s">
        <v>13</v>
      </c>
      <c r="F89" s="1" t="s">
        <v>19</v>
      </c>
      <c r="G89" s="1" t="s">
        <v>22</v>
      </c>
      <c r="H89" s="1">
        <v>6</v>
      </c>
      <c r="I89" s="3">
        <v>19933.2</v>
      </c>
      <c r="J89" s="3">
        <v>119599.19</v>
      </c>
      <c r="K89" s="3">
        <v>70255.8</v>
      </c>
      <c r="L89" s="3">
        <v>49343.39</v>
      </c>
      <c r="M89" s="1">
        <v>41.26</v>
      </c>
    </row>
    <row r="90" spans="1:13" x14ac:dyDescent="0.35">
      <c r="A90" s="1" t="s">
        <v>133</v>
      </c>
      <c r="B90" s="2">
        <v>45612</v>
      </c>
      <c r="C90" s="1" t="s">
        <v>254</v>
      </c>
      <c r="D90" s="1" t="s">
        <v>26</v>
      </c>
      <c r="E90" s="1" t="s">
        <v>18</v>
      </c>
      <c r="F90" s="1" t="s">
        <v>49</v>
      </c>
      <c r="G90" s="1" t="s">
        <v>22</v>
      </c>
      <c r="H90" s="1">
        <v>7</v>
      </c>
      <c r="I90" s="3">
        <v>19538.47</v>
      </c>
      <c r="J90" s="3">
        <v>136769.28</v>
      </c>
      <c r="K90" s="3">
        <v>83318.320000000007</v>
      </c>
      <c r="L90" s="3">
        <v>53450.96</v>
      </c>
      <c r="M90" s="1">
        <v>39.08</v>
      </c>
    </row>
    <row r="91" spans="1:13" x14ac:dyDescent="0.35">
      <c r="A91" s="1" t="s">
        <v>134</v>
      </c>
      <c r="B91" s="2">
        <v>45583</v>
      </c>
      <c r="C91" s="1" t="s">
        <v>260</v>
      </c>
      <c r="D91" s="1" t="s">
        <v>26</v>
      </c>
      <c r="E91" s="1" t="s">
        <v>18</v>
      </c>
      <c r="F91" s="1" t="s">
        <v>49</v>
      </c>
      <c r="G91" s="1" t="s">
        <v>15</v>
      </c>
      <c r="H91" s="1">
        <v>3</v>
      </c>
      <c r="I91" s="3">
        <v>56657.2</v>
      </c>
      <c r="J91" s="3">
        <v>169971.61</v>
      </c>
      <c r="K91" s="3">
        <v>102975.67</v>
      </c>
      <c r="L91" s="3">
        <v>66995.94</v>
      </c>
      <c r="M91" s="1">
        <v>39.42</v>
      </c>
    </row>
    <row r="92" spans="1:13" x14ac:dyDescent="0.35">
      <c r="A92" s="1" t="s">
        <v>135</v>
      </c>
      <c r="B92" s="2">
        <v>45382</v>
      </c>
      <c r="C92" s="1" t="s">
        <v>259</v>
      </c>
      <c r="D92" s="1" t="s">
        <v>34</v>
      </c>
      <c r="E92" s="1" t="s">
        <v>35</v>
      </c>
      <c r="F92" s="1" t="s">
        <v>41</v>
      </c>
      <c r="G92" s="1" t="s">
        <v>15</v>
      </c>
      <c r="H92" s="1">
        <v>7</v>
      </c>
      <c r="I92" s="3">
        <v>51516.78</v>
      </c>
      <c r="J92" s="3">
        <v>360617.44</v>
      </c>
      <c r="K92" s="3">
        <v>207487.82</v>
      </c>
      <c r="L92" s="3">
        <v>153129.63</v>
      </c>
      <c r="M92" s="1">
        <v>42.46</v>
      </c>
    </row>
    <row r="93" spans="1:13" x14ac:dyDescent="0.35">
      <c r="A93" s="1" t="s">
        <v>136</v>
      </c>
      <c r="B93" s="2">
        <v>45533</v>
      </c>
      <c r="C93" s="1" t="s">
        <v>257</v>
      </c>
      <c r="D93" s="1" t="s">
        <v>24</v>
      </c>
      <c r="E93" s="1" t="s">
        <v>13</v>
      </c>
      <c r="F93" s="1" t="s">
        <v>58</v>
      </c>
      <c r="G93" s="1" t="s">
        <v>39</v>
      </c>
      <c r="H93" s="1">
        <v>4</v>
      </c>
      <c r="I93" s="3">
        <v>26782.27</v>
      </c>
      <c r="J93" s="3">
        <v>107129.07</v>
      </c>
      <c r="K93" s="3">
        <v>60180.04</v>
      </c>
      <c r="L93" s="3">
        <v>46949.04</v>
      </c>
      <c r="M93" s="1">
        <v>43.82</v>
      </c>
    </row>
    <row r="94" spans="1:13" x14ac:dyDescent="0.35">
      <c r="A94" s="1" t="s">
        <v>137</v>
      </c>
      <c r="B94" s="2">
        <v>45652</v>
      </c>
      <c r="C94" s="1" t="s">
        <v>252</v>
      </c>
      <c r="D94" s="1" t="s">
        <v>26</v>
      </c>
      <c r="E94" s="1" t="s">
        <v>27</v>
      </c>
      <c r="F94" s="1" t="s">
        <v>28</v>
      </c>
      <c r="G94" s="1" t="s">
        <v>22</v>
      </c>
      <c r="H94" s="1">
        <v>4</v>
      </c>
      <c r="I94" s="3">
        <v>19810.86</v>
      </c>
      <c r="J94" s="3">
        <v>79243.45</v>
      </c>
      <c r="K94" s="3">
        <v>46554.5</v>
      </c>
      <c r="L94" s="3">
        <v>32688.95</v>
      </c>
      <c r="M94" s="1">
        <v>41.25</v>
      </c>
    </row>
    <row r="95" spans="1:13" x14ac:dyDescent="0.35">
      <c r="A95" s="1" t="s">
        <v>138</v>
      </c>
      <c r="B95" s="2">
        <v>45603</v>
      </c>
      <c r="C95" s="1" t="s">
        <v>254</v>
      </c>
      <c r="D95" s="1" t="s">
        <v>26</v>
      </c>
      <c r="E95" s="1" t="s">
        <v>27</v>
      </c>
      <c r="F95" s="1" t="s">
        <v>78</v>
      </c>
      <c r="G95" s="1" t="s">
        <v>22</v>
      </c>
      <c r="H95" s="1">
        <v>6</v>
      </c>
      <c r="I95" s="3">
        <v>19010.55</v>
      </c>
      <c r="J95" s="3">
        <v>114063.28</v>
      </c>
      <c r="K95" s="3">
        <v>73889.06</v>
      </c>
      <c r="L95" s="3">
        <v>40174.22</v>
      </c>
      <c r="M95" s="1">
        <v>35.22</v>
      </c>
    </row>
    <row r="96" spans="1:13" x14ac:dyDescent="0.35">
      <c r="A96" s="1" t="s">
        <v>139</v>
      </c>
      <c r="B96" s="2">
        <v>45464</v>
      </c>
      <c r="C96" s="1" t="s">
        <v>256</v>
      </c>
      <c r="D96" s="1" t="s">
        <v>12</v>
      </c>
      <c r="E96" s="1" t="s">
        <v>13</v>
      </c>
      <c r="F96" s="1" t="s">
        <v>109</v>
      </c>
      <c r="G96" s="1" t="s">
        <v>22</v>
      </c>
      <c r="H96" s="1">
        <v>6</v>
      </c>
      <c r="I96" s="3">
        <v>19623.22</v>
      </c>
      <c r="J96" s="3">
        <v>117739.3</v>
      </c>
      <c r="K96" s="3">
        <v>75578.22</v>
      </c>
      <c r="L96" s="3">
        <v>42161.08</v>
      </c>
      <c r="M96" s="1">
        <v>35.81</v>
      </c>
    </row>
    <row r="97" spans="1:13" x14ac:dyDescent="0.35">
      <c r="A97" s="1" t="s">
        <v>140</v>
      </c>
      <c r="B97" s="2">
        <v>45455</v>
      </c>
      <c r="C97" s="1" t="s">
        <v>256</v>
      </c>
      <c r="D97" s="1" t="s">
        <v>12</v>
      </c>
      <c r="E97" s="1" t="s">
        <v>18</v>
      </c>
      <c r="F97" s="1" t="s">
        <v>19</v>
      </c>
      <c r="G97" s="1" t="s">
        <v>244</v>
      </c>
      <c r="H97" s="1">
        <v>1</v>
      </c>
      <c r="I97" s="3">
        <v>4092.39</v>
      </c>
      <c r="J97" s="3">
        <v>4092.39</v>
      </c>
      <c r="K97" s="3">
        <v>2508.39</v>
      </c>
      <c r="L97" s="3">
        <v>1584</v>
      </c>
      <c r="M97" s="1">
        <v>38.71</v>
      </c>
    </row>
    <row r="98" spans="1:13" x14ac:dyDescent="0.35">
      <c r="A98" s="1" t="s">
        <v>141</v>
      </c>
      <c r="B98" s="2">
        <v>45305</v>
      </c>
      <c r="C98" s="1" t="s">
        <v>258</v>
      </c>
      <c r="D98" s="1" t="s">
        <v>34</v>
      </c>
      <c r="E98" s="1" t="s">
        <v>27</v>
      </c>
      <c r="F98" s="1" t="s">
        <v>69</v>
      </c>
      <c r="G98" s="1" t="s">
        <v>39</v>
      </c>
      <c r="H98" s="1">
        <v>6</v>
      </c>
      <c r="I98" s="3">
        <v>30763.03</v>
      </c>
      <c r="J98" s="3">
        <v>184578.16</v>
      </c>
      <c r="K98" s="3">
        <v>115123.26</v>
      </c>
      <c r="L98" s="3">
        <v>69454.899999999994</v>
      </c>
      <c r="M98" s="1">
        <v>37.630000000000003</v>
      </c>
    </row>
    <row r="99" spans="1:13" x14ac:dyDescent="0.35">
      <c r="A99" s="1" t="s">
        <v>142</v>
      </c>
      <c r="B99" s="2">
        <v>45303</v>
      </c>
      <c r="C99" s="1" t="s">
        <v>258</v>
      </c>
      <c r="D99" s="1" t="s">
        <v>34</v>
      </c>
      <c r="E99" s="1" t="s">
        <v>35</v>
      </c>
      <c r="F99" s="1" t="s">
        <v>36</v>
      </c>
      <c r="G99" s="1" t="s">
        <v>244</v>
      </c>
      <c r="H99" s="1">
        <v>6</v>
      </c>
      <c r="I99" s="3">
        <v>3822.63</v>
      </c>
      <c r="J99" s="3">
        <v>22935.759999999998</v>
      </c>
      <c r="K99" s="3">
        <v>14036.99</v>
      </c>
      <c r="L99" s="3">
        <v>8898.77</v>
      </c>
      <c r="M99" s="1">
        <v>38.799999999999997</v>
      </c>
    </row>
    <row r="100" spans="1:13" x14ac:dyDescent="0.35">
      <c r="A100" s="1" t="s">
        <v>143</v>
      </c>
      <c r="B100" s="2">
        <v>45299</v>
      </c>
      <c r="C100" s="1" t="s">
        <v>258</v>
      </c>
      <c r="D100" s="1" t="s">
        <v>34</v>
      </c>
      <c r="E100" s="1" t="s">
        <v>35</v>
      </c>
      <c r="F100" s="1" t="s">
        <v>36</v>
      </c>
      <c r="G100" s="1" t="s">
        <v>244</v>
      </c>
      <c r="H100" s="1">
        <v>2</v>
      </c>
      <c r="I100" s="3">
        <v>3553.07</v>
      </c>
      <c r="J100" s="3">
        <v>7106.15</v>
      </c>
      <c r="K100" s="3">
        <v>4071.39</v>
      </c>
      <c r="L100" s="3">
        <v>3034.75</v>
      </c>
      <c r="M100" s="1">
        <v>42.71</v>
      </c>
    </row>
    <row r="101" spans="1:13" x14ac:dyDescent="0.35">
      <c r="A101" s="1" t="s">
        <v>144</v>
      </c>
      <c r="B101" s="2">
        <v>45319</v>
      </c>
      <c r="C101" s="1" t="s">
        <v>258</v>
      </c>
      <c r="D101" s="1" t="s">
        <v>34</v>
      </c>
      <c r="E101" s="1" t="s">
        <v>13</v>
      </c>
      <c r="F101" s="1" t="s">
        <v>14</v>
      </c>
      <c r="G101" s="1" t="s">
        <v>22</v>
      </c>
      <c r="H101" s="1">
        <v>4</v>
      </c>
      <c r="I101" s="3">
        <v>19931.05</v>
      </c>
      <c r="J101" s="3">
        <v>79724.210000000006</v>
      </c>
      <c r="K101" s="3">
        <v>49414.36</v>
      </c>
      <c r="L101" s="3">
        <v>30309.86</v>
      </c>
      <c r="M101" s="1">
        <v>38.020000000000003</v>
      </c>
    </row>
    <row r="102" spans="1:13" x14ac:dyDescent="0.35">
      <c r="A102" s="1" t="s">
        <v>145</v>
      </c>
      <c r="B102" s="2">
        <v>45436</v>
      </c>
      <c r="C102" s="1" t="s">
        <v>17</v>
      </c>
      <c r="D102" s="1" t="s">
        <v>12</v>
      </c>
      <c r="E102" s="1" t="s">
        <v>27</v>
      </c>
      <c r="F102" s="1" t="s">
        <v>69</v>
      </c>
      <c r="G102" s="1" t="s">
        <v>22</v>
      </c>
      <c r="H102" s="1">
        <v>4</v>
      </c>
      <c r="I102" s="3">
        <v>18013.91</v>
      </c>
      <c r="J102" s="3">
        <v>72055.64</v>
      </c>
      <c r="K102" s="3">
        <v>41583</v>
      </c>
      <c r="L102" s="3">
        <v>30472.63</v>
      </c>
      <c r="M102" s="1">
        <v>42.29</v>
      </c>
    </row>
    <row r="103" spans="1:13" x14ac:dyDescent="0.35">
      <c r="A103" s="1" t="s">
        <v>146</v>
      </c>
      <c r="B103" s="2">
        <v>45337</v>
      </c>
      <c r="C103" s="1" t="s">
        <v>255</v>
      </c>
      <c r="D103" s="1" t="s">
        <v>34</v>
      </c>
      <c r="E103" s="1" t="s">
        <v>18</v>
      </c>
      <c r="F103" s="1" t="s">
        <v>56</v>
      </c>
      <c r="G103" s="1" t="s">
        <v>39</v>
      </c>
      <c r="H103" s="1">
        <v>2</v>
      </c>
      <c r="I103" s="3">
        <v>31249.59</v>
      </c>
      <c r="J103" s="3">
        <v>62499.17</v>
      </c>
      <c r="K103" s="3">
        <v>38006.76</v>
      </c>
      <c r="L103" s="3">
        <v>24492.41</v>
      </c>
      <c r="M103" s="1">
        <v>39.19</v>
      </c>
    </row>
    <row r="104" spans="1:13" x14ac:dyDescent="0.35">
      <c r="A104" s="1" t="s">
        <v>147</v>
      </c>
      <c r="B104" s="2">
        <v>45301</v>
      </c>
      <c r="C104" s="1" t="s">
        <v>258</v>
      </c>
      <c r="D104" s="1" t="s">
        <v>34</v>
      </c>
      <c r="E104" s="1" t="s">
        <v>18</v>
      </c>
      <c r="F104" s="1" t="s">
        <v>30</v>
      </c>
      <c r="G104" s="1" t="s">
        <v>15</v>
      </c>
      <c r="H104" s="1">
        <v>5</v>
      </c>
      <c r="I104" s="3">
        <v>47472.51</v>
      </c>
      <c r="J104" s="3">
        <v>237362.57</v>
      </c>
      <c r="K104" s="3">
        <v>140311.07</v>
      </c>
      <c r="L104" s="3">
        <v>97051.5</v>
      </c>
      <c r="M104" s="1">
        <v>40.89</v>
      </c>
    </row>
    <row r="105" spans="1:13" x14ac:dyDescent="0.35">
      <c r="A105" s="1" t="s">
        <v>148</v>
      </c>
      <c r="B105" s="2">
        <v>45356</v>
      </c>
      <c r="C105" s="1" t="s">
        <v>259</v>
      </c>
      <c r="D105" s="1" t="s">
        <v>34</v>
      </c>
      <c r="E105" s="1" t="s">
        <v>35</v>
      </c>
      <c r="F105" s="1" t="s">
        <v>36</v>
      </c>
      <c r="G105" s="1" t="s">
        <v>15</v>
      </c>
      <c r="H105" s="1">
        <v>1</v>
      </c>
      <c r="I105" s="3">
        <v>50651.08</v>
      </c>
      <c r="J105" s="3">
        <v>50651.08</v>
      </c>
      <c r="K105" s="3">
        <v>31654.79</v>
      </c>
      <c r="L105" s="3">
        <v>18996.29</v>
      </c>
      <c r="M105" s="1">
        <v>37.5</v>
      </c>
    </row>
    <row r="106" spans="1:13" x14ac:dyDescent="0.35">
      <c r="A106" s="1" t="s">
        <v>149</v>
      </c>
      <c r="B106" s="2">
        <v>45508</v>
      </c>
      <c r="C106" s="1" t="s">
        <v>257</v>
      </c>
      <c r="D106" s="1" t="s">
        <v>24</v>
      </c>
      <c r="E106" s="1" t="s">
        <v>18</v>
      </c>
      <c r="F106" s="1" t="s">
        <v>52</v>
      </c>
      <c r="G106" s="1" t="s">
        <v>15</v>
      </c>
      <c r="H106" s="1">
        <v>1</v>
      </c>
      <c r="I106" s="3">
        <v>57574.93</v>
      </c>
      <c r="J106" s="3">
        <v>57574.93</v>
      </c>
      <c r="K106" s="3">
        <v>34364.71</v>
      </c>
      <c r="L106" s="3">
        <v>23210.22</v>
      </c>
      <c r="M106" s="1">
        <v>40.31</v>
      </c>
    </row>
    <row r="107" spans="1:13" x14ac:dyDescent="0.35">
      <c r="A107" s="1" t="s">
        <v>150</v>
      </c>
      <c r="B107" s="2">
        <v>45390</v>
      </c>
      <c r="C107" s="1" t="s">
        <v>250</v>
      </c>
      <c r="D107" s="1" t="s">
        <v>12</v>
      </c>
      <c r="E107" s="1" t="s">
        <v>27</v>
      </c>
      <c r="F107" s="1" t="s">
        <v>69</v>
      </c>
      <c r="G107" s="1" t="s">
        <v>244</v>
      </c>
      <c r="H107" s="1">
        <v>7</v>
      </c>
      <c r="I107" s="3">
        <v>5458.89</v>
      </c>
      <c r="J107" s="3">
        <v>38212.230000000003</v>
      </c>
      <c r="K107" s="3">
        <v>24123</v>
      </c>
      <c r="L107" s="3">
        <v>14089.23</v>
      </c>
      <c r="M107" s="1">
        <v>36.869999999999997</v>
      </c>
    </row>
    <row r="108" spans="1:13" x14ac:dyDescent="0.35">
      <c r="A108" s="1" t="s">
        <v>151</v>
      </c>
      <c r="B108" s="2">
        <v>45642</v>
      </c>
      <c r="C108" s="1" t="s">
        <v>252</v>
      </c>
      <c r="D108" s="1" t="s">
        <v>26</v>
      </c>
      <c r="E108" s="1" t="s">
        <v>13</v>
      </c>
      <c r="F108" s="1" t="s">
        <v>90</v>
      </c>
      <c r="G108" s="1" t="s">
        <v>15</v>
      </c>
      <c r="H108" s="1">
        <v>5</v>
      </c>
      <c r="I108" s="3">
        <v>53777.24</v>
      </c>
      <c r="J108" s="3">
        <v>268886.21000000002</v>
      </c>
      <c r="K108" s="3">
        <v>167411.81</v>
      </c>
      <c r="L108" s="3">
        <v>101474.41</v>
      </c>
      <c r="M108" s="1">
        <v>37.74</v>
      </c>
    </row>
    <row r="109" spans="1:13" x14ac:dyDescent="0.35">
      <c r="A109" s="1" t="s">
        <v>152</v>
      </c>
      <c r="B109" s="2">
        <v>45493</v>
      </c>
      <c r="C109" s="1" t="s">
        <v>251</v>
      </c>
      <c r="D109" s="1" t="s">
        <v>24</v>
      </c>
      <c r="E109" s="1" t="s">
        <v>35</v>
      </c>
      <c r="F109" s="1" t="s">
        <v>97</v>
      </c>
      <c r="G109" s="1" t="s">
        <v>22</v>
      </c>
      <c r="H109" s="1">
        <v>5</v>
      </c>
      <c r="I109" s="3">
        <v>17252.72</v>
      </c>
      <c r="J109" s="3">
        <v>86263.6</v>
      </c>
      <c r="K109" s="3">
        <v>48559.16</v>
      </c>
      <c r="L109" s="3">
        <v>37704.449999999997</v>
      </c>
      <c r="M109" s="1">
        <v>43.71</v>
      </c>
    </row>
    <row r="110" spans="1:13" x14ac:dyDescent="0.35">
      <c r="A110" s="1" t="s">
        <v>153</v>
      </c>
      <c r="B110" s="2">
        <v>45342</v>
      </c>
      <c r="C110" s="1" t="s">
        <v>255</v>
      </c>
      <c r="D110" s="1" t="s">
        <v>34</v>
      </c>
      <c r="E110" s="1" t="s">
        <v>13</v>
      </c>
      <c r="F110" s="1" t="s">
        <v>19</v>
      </c>
      <c r="G110" s="1" t="s">
        <v>244</v>
      </c>
      <c r="H110" s="1">
        <v>6</v>
      </c>
      <c r="I110" s="3">
        <v>5512.88</v>
      </c>
      <c r="J110" s="3">
        <v>33077.300000000003</v>
      </c>
      <c r="K110" s="3">
        <v>20696.46</v>
      </c>
      <c r="L110" s="3">
        <v>12380.83</v>
      </c>
      <c r="M110" s="1">
        <v>37.43</v>
      </c>
    </row>
    <row r="111" spans="1:13" x14ac:dyDescent="0.35">
      <c r="A111" s="1" t="s">
        <v>154</v>
      </c>
      <c r="B111" s="2">
        <v>45325</v>
      </c>
      <c r="C111" s="1" t="s">
        <v>255</v>
      </c>
      <c r="D111" s="1" t="s">
        <v>34</v>
      </c>
      <c r="E111" s="1" t="s">
        <v>13</v>
      </c>
      <c r="F111" s="1" t="s">
        <v>74</v>
      </c>
      <c r="G111" s="1" t="s">
        <v>244</v>
      </c>
      <c r="H111" s="1">
        <v>7</v>
      </c>
      <c r="I111" s="3">
        <v>4686.29</v>
      </c>
      <c r="J111" s="3">
        <v>32804.050000000003</v>
      </c>
      <c r="K111" s="3">
        <v>19749.05</v>
      </c>
      <c r="L111" s="3">
        <v>13055</v>
      </c>
      <c r="M111" s="1">
        <v>39.799999999999997</v>
      </c>
    </row>
    <row r="112" spans="1:13" x14ac:dyDescent="0.35">
      <c r="A112" s="1" t="s">
        <v>155</v>
      </c>
      <c r="B112" s="2">
        <v>45409</v>
      </c>
      <c r="C112" s="1" t="s">
        <v>250</v>
      </c>
      <c r="D112" s="1" t="s">
        <v>12</v>
      </c>
      <c r="E112" s="1" t="s">
        <v>18</v>
      </c>
      <c r="F112" s="1" t="s">
        <v>19</v>
      </c>
      <c r="G112" s="1" t="s">
        <v>39</v>
      </c>
      <c r="H112" s="1">
        <v>4</v>
      </c>
      <c r="I112" s="3">
        <v>37245.79</v>
      </c>
      <c r="J112" s="3">
        <v>148983.14000000001</v>
      </c>
      <c r="K112" s="3">
        <v>96361.91</v>
      </c>
      <c r="L112" s="3">
        <v>52621.24</v>
      </c>
      <c r="M112" s="1">
        <v>35.32</v>
      </c>
    </row>
    <row r="113" spans="1:13" x14ac:dyDescent="0.35">
      <c r="A113" s="1" t="s">
        <v>156</v>
      </c>
      <c r="B113" s="2">
        <v>45513</v>
      </c>
      <c r="C113" s="1" t="s">
        <v>257</v>
      </c>
      <c r="D113" s="1" t="s">
        <v>24</v>
      </c>
      <c r="E113" s="1" t="s">
        <v>18</v>
      </c>
      <c r="F113" s="1" t="s">
        <v>56</v>
      </c>
      <c r="G113" s="1" t="s">
        <v>22</v>
      </c>
      <c r="H113" s="1">
        <v>7</v>
      </c>
      <c r="I113" s="3">
        <v>15143.91</v>
      </c>
      <c r="J113" s="3">
        <v>106007.39</v>
      </c>
      <c r="K113" s="3">
        <v>66309.08</v>
      </c>
      <c r="L113" s="3">
        <v>39698.31</v>
      </c>
      <c r="M113" s="1">
        <v>37.450000000000003</v>
      </c>
    </row>
    <row r="114" spans="1:13" x14ac:dyDescent="0.35">
      <c r="A114" s="1" t="s">
        <v>157</v>
      </c>
      <c r="B114" s="2">
        <v>45632</v>
      </c>
      <c r="C114" s="1" t="s">
        <v>252</v>
      </c>
      <c r="D114" s="1" t="s">
        <v>26</v>
      </c>
      <c r="E114" s="1" t="s">
        <v>18</v>
      </c>
      <c r="F114" s="1" t="s">
        <v>30</v>
      </c>
      <c r="G114" s="1" t="s">
        <v>15</v>
      </c>
      <c r="H114" s="1">
        <v>3</v>
      </c>
      <c r="I114" s="3">
        <v>58547.27</v>
      </c>
      <c r="J114" s="3">
        <v>175641.8</v>
      </c>
      <c r="K114" s="3">
        <v>107444.72</v>
      </c>
      <c r="L114" s="3">
        <v>68197.08</v>
      </c>
      <c r="M114" s="1">
        <v>38.83</v>
      </c>
    </row>
    <row r="115" spans="1:13" x14ac:dyDescent="0.35">
      <c r="A115" s="1" t="s">
        <v>158</v>
      </c>
      <c r="B115" s="2">
        <v>45517</v>
      </c>
      <c r="C115" s="1" t="s">
        <v>257</v>
      </c>
      <c r="D115" s="1" t="s">
        <v>24</v>
      </c>
      <c r="E115" s="1" t="s">
        <v>18</v>
      </c>
      <c r="F115" s="1" t="s">
        <v>30</v>
      </c>
      <c r="G115" s="1" t="s">
        <v>39</v>
      </c>
      <c r="H115" s="1">
        <v>2</v>
      </c>
      <c r="I115" s="3">
        <v>30883.66</v>
      </c>
      <c r="J115" s="3">
        <v>61767.32</v>
      </c>
      <c r="K115" s="3">
        <v>36674.19</v>
      </c>
      <c r="L115" s="3">
        <v>25093.13</v>
      </c>
      <c r="M115" s="1">
        <v>40.630000000000003</v>
      </c>
    </row>
    <row r="116" spans="1:13" x14ac:dyDescent="0.35">
      <c r="A116" s="1" t="s">
        <v>159</v>
      </c>
      <c r="B116" s="2">
        <v>45599</v>
      </c>
      <c r="C116" s="1" t="s">
        <v>254</v>
      </c>
      <c r="D116" s="1" t="s">
        <v>26</v>
      </c>
      <c r="E116" s="1" t="s">
        <v>27</v>
      </c>
      <c r="F116" s="1" t="s">
        <v>78</v>
      </c>
      <c r="G116" s="1" t="s">
        <v>22</v>
      </c>
      <c r="H116" s="1">
        <v>7</v>
      </c>
      <c r="I116" s="3">
        <v>16982.71</v>
      </c>
      <c r="J116" s="3">
        <v>118879</v>
      </c>
      <c r="K116" s="3">
        <v>72778.75</v>
      </c>
      <c r="L116" s="3">
        <v>46100.24</v>
      </c>
      <c r="M116" s="1">
        <v>38.78</v>
      </c>
    </row>
    <row r="117" spans="1:13" x14ac:dyDescent="0.35">
      <c r="A117" s="1" t="s">
        <v>160</v>
      </c>
      <c r="B117" s="2">
        <v>45342</v>
      </c>
      <c r="C117" s="1" t="s">
        <v>255</v>
      </c>
      <c r="D117" s="1" t="s">
        <v>34</v>
      </c>
      <c r="E117" s="1" t="s">
        <v>27</v>
      </c>
      <c r="F117" s="1" t="s">
        <v>69</v>
      </c>
      <c r="G117" s="1" t="s">
        <v>22</v>
      </c>
      <c r="H117" s="1">
        <v>4</v>
      </c>
      <c r="I117" s="3">
        <v>17296.73</v>
      </c>
      <c r="J117" s="3">
        <v>69186.94</v>
      </c>
      <c r="K117" s="3">
        <v>43878.99</v>
      </c>
      <c r="L117" s="3">
        <v>25307.95</v>
      </c>
      <c r="M117" s="1">
        <v>36.58</v>
      </c>
    </row>
    <row r="118" spans="1:13" x14ac:dyDescent="0.35">
      <c r="A118" s="1" t="s">
        <v>161</v>
      </c>
      <c r="B118" s="2">
        <v>45564</v>
      </c>
      <c r="C118" s="1" t="s">
        <v>253</v>
      </c>
      <c r="D118" s="1" t="s">
        <v>24</v>
      </c>
      <c r="E118" s="1" t="s">
        <v>13</v>
      </c>
      <c r="F118" s="1" t="s">
        <v>60</v>
      </c>
      <c r="G118" s="1" t="s">
        <v>244</v>
      </c>
      <c r="H118" s="1">
        <v>5</v>
      </c>
      <c r="I118" s="3">
        <v>5920.13</v>
      </c>
      <c r="J118" s="3">
        <v>29600.65</v>
      </c>
      <c r="K118" s="3">
        <v>17738.54</v>
      </c>
      <c r="L118" s="3">
        <v>11862.11</v>
      </c>
      <c r="M118" s="1">
        <v>40.07</v>
      </c>
    </row>
    <row r="119" spans="1:13" x14ac:dyDescent="0.35">
      <c r="A119" s="1" t="s">
        <v>162</v>
      </c>
      <c r="B119" s="2">
        <v>45496</v>
      </c>
      <c r="C119" s="1" t="s">
        <v>251</v>
      </c>
      <c r="D119" s="1" t="s">
        <v>24</v>
      </c>
      <c r="E119" s="1" t="s">
        <v>18</v>
      </c>
      <c r="F119" s="1" t="s">
        <v>52</v>
      </c>
      <c r="G119" s="1" t="s">
        <v>15</v>
      </c>
      <c r="H119" s="1">
        <v>3</v>
      </c>
      <c r="I119" s="3">
        <v>46137.95</v>
      </c>
      <c r="J119" s="3">
        <v>138413.85</v>
      </c>
      <c r="K119" s="3">
        <v>77911.490000000005</v>
      </c>
      <c r="L119" s="3">
        <v>60502.36</v>
      </c>
      <c r="M119" s="1">
        <v>43.71</v>
      </c>
    </row>
    <row r="120" spans="1:13" x14ac:dyDescent="0.35">
      <c r="A120" s="1" t="s">
        <v>163</v>
      </c>
      <c r="B120" s="2">
        <v>45474</v>
      </c>
      <c r="C120" s="1" t="s">
        <v>251</v>
      </c>
      <c r="D120" s="1" t="s">
        <v>24</v>
      </c>
      <c r="E120" s="1" t="s">
        <v>18</v>
      </c>
      <c r="F120" s="1" t="s">
        <v>21</v>
      </c>
      <c r="G120" s="1" t="s">
        <v>244</v>
      </c>
      <c r="H120" s="1">
        <v>4</v>
      </c>
      <c r="I120" s="3">
        <v>2727.52</v>
      </c>
      <c r="J120" s="3">
        <v>10910.08</v>
      </c>
      <c r="K120" s="3">
        <v>6377.67</v>
      </c>
      <c r="L120" s="3">
        <v>4532.41</v>
      </c>
      <c r="M120" s="1">
        <v>41.54</v>
      </c>
    </row>
    <row r="121" spans="1:13" x14ac:dyDescent="0.35">
      <c r="A121" s="1" t="s">
        <v>164</v>
      </c>
      <c r="B121" s="2">
        <v>45486</v>
      </c>
      <c r="C121" s="1" t="s">
        <v>251</v>
      </c>
      <c r="D121" s="1" t="s">
        <v>24</v>
      </c>
      <c r="E121" s="1" t="s">
        <v>18</v>
      </c>
      <c r="F121" s="1" t="s">
        <v>19</v>
      </c>
      <c r="G121" s="1" t="s">
        <v>22</v>
      </c>
      <c r="H121" s="1">
        <v>2</v>
      </c>
      <c r="I121" s="3">
        <v>18009.68</v>
      </c>
      <c r="J121" s="3">
        <v>36019.35</v>
      </c>
      <c r="K121" s="3">
        <v>20616.93</v>
      </c>
      <c r="L121" s="3">
        <v>15402.42</v>
      </c>
      <c r="M121" s="1">
        <v>42.76</v>
      </c>
    </row>
    <row r="122" spans="1:13" x14ac:dyDescent="0.35">
      <c r="A122" s="1" t="s">
        <v>165</v>
      </c>
      <c r="B122" s="2">
        <v>45568</v>
      </c>
      <c r="C122" s="1" t="s">
        <v>260</v>
      </c>
      <c r="D122" s="1" t="s">
        <v>26</v>
      </c>
      <c r="E122" s="1" t="s">
        <v>13</v>
      </c>
      <c r="F122" s="1" t="s">
        <v>90</v>
      </c>
      <c r="G122" s="1" t="s">
        <v>244</v>
      </c>
      <c r="H122" s="1">
        <v>2</v>
      </c>
      <c r="I122" s="3">
        <v>2708.04</v>
      </c>
      <c r="J122" s="3">
        <v>5416.08</v>
      </c>
      <c r="K122" s="3">
        <v>3026.89</v>
      </c>
      <c r="L122" s="3">
        <v>2389.1999999999998</v>
      </c>
      <c r="M122" s="1">
        <v>44.11</v>
      </c>
    </row>
    <row r="123" spans="1:13" x14ac:dyDescent="0.35">
      <c r="A123" s="1" t="s">
        <v>166</v>
      </c>
      <c r="B123" s="2">
        <v>45292</v>
      </c>
      <c r="C123" s="1" t="s">
        <v>258</v>
      </c>
      <c r="D123" s="1" t="s">
        <v>34</v>
      </c>
      <c r="E123" s="1" t="s">
        <v>13</v>
      </c>
      <c r="F123" s="1" t="s">
        <v>19</v>
      </c>
      <c r="G123" s="1" t="s">
        <v>244</v>
      </c>
      <c r="H123" s="1">
        <v>2</v>
      </c>
      <c r="I123" s="3">
        <v>5576.87</v>
      </c>
      <c r="J123" s="3">
        <v>11153.74</v>
      </c>
      <c r="K123" s="3">
        <v>6278.16</v>
      </c>
      <c r="L123" s="3">
        <v>4875.58</v>
      </c>
      <c r="M123" s="1">
        <v>43.71</v>
      </c>
    </row>
    <row r="124" spans="1:13" x14ac:dyDescent="0.35">
      <c r="A124" s="1" t="s">
        <v>167</v>
      </c>
      <c r="B124" s="2">
        <v>45509</v>
      </c>
      <c r="C124" s="1" t="s">
        <v>257</v>
      </c>
      <c r="D124" s="1" t="s">
        <v>24</v>
      </c>
      <c r="E124" s="1" t="s">
        <v>13</v>
      </c>
      <c r="F124" s="1" t="s">
        <v>109</v>
      </c>
      <c r="G124" s="1" t="s">
        <v>22</v>
      </c>
      <c r="H124" s="1">
        <v>2</v>
      </c>
      <c r="I124" s="3">
        <v>18997.05</v>
      </c>
      <c r="J124" s="3">
        <v>37994.1</v>
      </c>
      <c r="K124" s="3">
        <v>23282.41</v>
      </c>
      <c r="L124" s="3">
        <v>14711.7</v>
      </c>
      <c r="M124" s="1">
        <v>38.72</v>
      </c>
    </row>
    <row r="125" spans="1:13" x14ac:dyDescent="0.35">
      <c r="A125" s="1" t="s">
        <v>168</v>
      </c>
      <c r="B125" s="2">
        <v>45530</v>
      </c>
      <c r="C125" s="1" t="s">
        <v>257</v>
      </c>
      <c r="D125" s="1" t="s">
        <v>24</v>
      </c>
      <c r="E125" s="1" t="s">
        <v>18</v>
      </c>
      <c r="F125" s="1" t="s">
        <v>52</v>
      </c>
      <c r="G125" s="1" t="s">
        <v>15</v>
      </c>
      <c r="H125" s="1">
        <v>5</v>
      </c>
      <c r="I125" s="3">
        <v>45038.93</v>
      </c>
      <c r="J125" s="3">
        <v>225194.63</v>
      </c>
      <c r="K125" s="3">
        <v>143410.72</v>
      </c>
      <c r="L125" s="3">
        <v>81783.91</v>
      </c>
      <c r="M125" s="1">
        <v>36.32</v>
      </c>
    </row>
    <row r="126" spans="1:13" x14ac:dyDescent="0.35">
      <c r="A126" s="1" t="s">
        <v>169</v>
      </c>
      <c r="B126" s="2">
        <v>45299</v>
      </c>
      <c r="C126" s="1" t="s">
        <v>258</v>
      </c>
      <c r="D126" s="1" t="s">
        <v>34</v>
      </c>
      <c r="E126" s="1" t="s">
        <v>27</v>
      </c>
      <c r="F126" s="1" t="s">
        <v>28</v>
      </c>
      <c r="G126" s="1" t="s">
        <v>22</v>
      </c>
      <c r="H126" s="1">
        <v>4</v>
      </c>
      <c r="I126" s="3">
        <v>16046.75</v>
      </c>
      <c r="J126" s="3">
        <v>64186.99</v>
      </c>
      <c r="K126" s="3">
        <v>37680.79</v>
      </c>
      <c r="L126" s="3">
        <v>26506.2</v>
      </c>
      <c r="M126" s="1">
        <v>41.3</v>
      </c>
    </row>
    <row r="127" spans="1:13" x14ac:dyDescent="0.35">
      <c r="A127" s="1" t="s">
        <v>170</v>
      </c>
      <c r="B127" s="2">
        <v>45505</v>
      </c>
      <c r="C127" s="1" t="s">
        <v>257</v>
      </c>
      <c r="D127" s="1" t="s">
        <v>24</v>
      </c>
      <c r="E127" s="1" t="s">
        <v>18</v>
      </c>
      <c r="F127" s="1" t="s">
        <v>30</v>
      </c>
      <c r="G127" s="1" t="s">
        <v>244</v>
      </c>
      <c r="H127" s="1">
        <v>7</v>
      </c>
      <c r="I127" s="3">
        <v>4125.0600000000004</v>
      </c>
      <c r="J127" s="3">
        <v>28875.439999999999</v>
      </c>
      <c r="K127" s="3">
        <v>17962.009999999998</v>
      </c>
      <c r="L127" s="3">
        <v>10913.43</v>
      </c>
      <c r="M127" s="1">
        <v>37.79</v>
      </c>
    </row>
    <row r="128" spans="1:13" x14ac:dyDescent="0.35">
      <c r="A128" s="1" t="s">
        <v>171</v>
      </c>
      <c r="B128" s="2">
        <v>45445</v>
      </c>
      <c r="C128" s="1" t="s">
        <v>256</v>
      </c>
      <c r="D128" s="1" t="s">
        <v>12</v>
      </c>
      <c r="E128" s="1" t="s">
        <v>18</v>
      </c>
      <c r="F128" s="1" t="s">
        <v>52</v>
      </c>
      <c r="G128" s="1" t="s">
        <v>244</v>
      </c>
      <c r="H128" s="1">
        <v>3</v>
      </c>
      <c r="I128" s="3">
        <v>4853.3999999999996</v>
      </c>
      <c r="J128" s="3">
        <v>14560.2</v>
      </c>
      <c r="K128" s="3">
        <v>9311.5499999999993</v>
      </c>
      <c r="L128" s="3">
        <v>5248.65</v>
      </c>
      <c r="M128" s="1">
        <v>36.049999999999997</v>
      </c>
    </row>
    <row r="129" spans="1:13" x14ac:dyDescent="0.35">
      <c r="A129" s="1" t="s">
        <v>172</v>
      </c>
      <c r="B129" s="2">
        <v>45529</v>
      </c>
      <c r="C129" s="1" t="s">
        <v>257</v>
      </c>
      <c r="D129" s="1" t="s">
        <v>24</v>
      </c>
      <c r="E129" s="1" t="s">
        <v>18</v>
      </c>
      <c r="F129" s="1" t="s">
        <v>19</v>
      </c>
      <c r="G129" s="1" t="s">
        <v>244</v>
      </c>
      <c r="H129" s="1">
        <v>5</v>
      </c>
      <c r="I129" s="3">
        <v>5468.86</v>
      </c>
      <c r="J129" s="3">
        <v>27344.3</v>
      </c>
      <c r="K129" s="3">
        <v>16007.75</v>
      </c>
      <c r="L129" s="3">
        <v>11336.55</v>
      </c>
      <c r="M129" s="1">
        <v>41.46</v>
      </c>
    </row>
    <row r="130" spans="1:13" x14ac:dyDescent="0.35">
      <c r="A130" s="1" t="s">
        <v>173</v>
      </c>
      <c r="B130" s="2">
        <v>45306</v>
      </c>
      <c r="C130" s="1" t="s">
        <v>258</v>
      </c>
      <c r="D130" s="1" t="s">
        <v>34</v>
      </c>
      <c r="E130" s="1" t="s">
        <v>27</v>
      </c>
      <c r="F130" s="1" t="s">
        <v>28</v>
      </c>
      <c r="G130" s="1" t="s">
        <v>22</v>
      </c>
      <c r="H130" s="1">
        <v>4</v>
      </c>
      <c r="I130" s="3">
        <v>15100.36</v>
      </c>
      <c r="J130" s="3">
        <v>60401.42</v>
      </c>
      <c r="K130" s="3">
        <v>35166.19</v>
      </c>
      <c r="L130" s="3">
        <v>25235.24</v>
      </c>
      <c r="M130" s="1">
        <v>41.78</v>
      </c>
    </row>
    <row r="131" spans="1:13" x14ac:dyDescent="0.35">
      <c r="A131" s="1" t="s">
        <v>174</v>
      </c>
      <c r="B131" s="2">
        <v>45522</v>
      </c>
      <c r="C131" s="1" t="s">
        <v>257</v>
      </c>
      <c r="D131" s="1" t="s">
        <v>24</v>
      </c>
      <c r="E131" s="1" t="s">
        <v>18</v>
      </c>
      <c r="F131" s="1" t="s">
        <v>30</v>
      </c>
      <c r="G131" s="1" t="s">
        <v>39</v>
      </c>
      <c r="H131" s="1">
        <v>4</v>
      </c>
      <c r="I131" s="3">
        <v>28498.25</v>
      </c>
      <c r="J131" s="3">
        <v>113992.98</v>
      </c>
      <c r="K131" s="3">
        <v>66605.27</v>
      </c>
      <c r="L131" s="3">
        <v>47387.72</v>
      </c>
      <c r="M131" s="1">
        <v>41.57</v>
      </c>
    </row>
    <row r="132" spans="1:13" x14ac:dyDescent="0.35">
      <c r="A132" s="1" t="s">
        <v>175</v>
      </c>
      <c r="B132" s="2">
        <v>45316</v>
      </c>
      <c r="C132" s="1" t="s">
        <v>258</v>
      </c>
      <c r="D132" s="1" t="s">
        <v>34</v>
      </c>
      <c r="E132" s="1" t="s">
        <v>13</v>
      </c>
      <c r="F132" s="1" t="s">
        <v>58</v>
      </c>
      <c r="G132" s="1" t="s">
        <v>15</v>
      </c>
      <c r="H132" s="1">
        <v>1</v>
      </c>
      <c r="I132" s="3">
        <v>52476.63</v>
      </c>
      <c r="J132" s="3">
        <v>52476.63</v>
      </c>
      <c r="K132" s="3">
        <v>29318.28</v>
      </c>
      <c r="L132" s="3">
        <v>23158.36</v>
      </c>
      <c r="M132" s="1">
        <v>44.13</v>
      </c>
    </row>
    <row r="133" spans="1:13" x14ac:dyDescent="0.35">
      <c r="A133" s="1" t="s">
        <v>176</v>
      </c>
      <c r="B133" s="2">
        <v>45402</v>
      </c>
      <c r="C133" s="1" t="s">
        <v>250</v>
      </c>
      <c r="D133" s="1" t="s">
        <v>12</v>
      </c>
      <c r="E133" s="1" t="s">
        <v>18</v>
      </c>
      <c r="F133" s="1" t="s">
        <v>30</v>
      </c>
      <c r="G133" s="1" t="s">
        <v>15</v>
      </c>
      <c r="H133" s="1">
        <v>1</v>
      </c>
      <c r="I133" s="3">
        <v>53466.879999999997</v>
      </c>
      <c r="J133" s="3">
        <v>53466.879999999997</v>
      </c>
      <c r="K133" s="3">
        <v>31431.96</v>
      </c>
      <c r="L133" s="3">
        <v>22034.92</v>
      </c>
      <c r="M133" s="1">
        <v>41.21</v>
      </c>
    </row>
    <row r="134" spans="1:13" x14ac:dyDescent="0.35">
      <c r="A134" s="1" t="s">
        <v>177</v>
      </c>
      <c r="B134" s="2">
        <v>45392</v>
      </c>
      <c r="C134" s="1" t="s">
        <v>250</v>
      </c>
      <c r="D134" s="1" t="s">
        <v>12</v>
      </c>
      <c r="E134" s="1" t="s">
        <v>18</v>
      </c>
      <c r="F134" s="1" t="s">
        <v>49</v>
      </c>
      <c r="G134" s="1" t="s">
        <v>39</v>
      </c>
      <c r="H134" s="1">
        <v>2</v>
      </c>
      <c r="I134" s="3">
        <v>28665.3</v>
      </c>
      <c r="J134" s="3">
        <v>57330.59</v>
      </c>
      <c r="K134" s="3">
        <v>34388.31</v>
      </c>
      <c r="L134" s="3">
        <v>22942.28</v>
      </c>
      <c r="M134" s="1">
        <v>40.020000000000003</v>
      </c>
    </row>
    <row r="135" spans="1:13" x14ac:dyDescent="0.35">
      <c r="A135" s="1" t="s">
        <v>178</v>
      </c>
      <c r="B135" s="2">
        <v>45520</v>
      </c>
      <c r="C135" s="1" t="s">
        <v>257</v>
      </c>
      <c r="D135" s="1" t="s">
        <v>24</v>
      </c>
      <c r="E135" s="1" t="s">
        <v>27</v>
      </c>
      <c r="F135" s="1" t="s">
        <v>69</v>
      </c>
      <c r="G135" s="1" t="s">
        <v>22</v>
      </c>
      <c r="H135" s="1">
        <v>6</v>
      </c>
      <c r="I135" s="3">
        <v>16126.66</v>
      </c>
      <c r="J135" s="3">
        <v>96759.98</v>
      </c>
      <c r="K135" s="3">
        <v>56753.18</v>
      </c>
      <c r="L135" s="3">
        <v>40006.800000000003</v>
      </c>
      <c r="M135" s="1">
        <v>41.35</v>
      </c>
    </row>
    <row r="136" spans="1:13" x14ac:dyDescent="0.35">
      <c r="A136" s="1" t="s">
        <v>179</v>
      </c>
      <c r="B136" s="2">
        <v>45403</v>
      </c>
      <c r="C136" s="1" t="s">
        <v>250</v>
      </c>
      <c r="D136" s="1" t="s">
        <v>12</v>
      </c>
      <c r="E136" s="1" t="s">
        <v>13</v>
      </c>
      <c r="F136" s="1" t="s">
        <v>58</v>
      </c>
      <c r="G136" s="1" t="s">
        <v>15</v>
      </c>
      <c r="H136" s="1">
        <v>6</v>
      </c>
      <c r="I136" s="3">
        <v>49276.43</v>
      </c>
      <c r="J136" s="3">
        <v>295658.57</v>
      </c>
      <c r="K136" s="3">
        <v>167738.15</v>
      </c>
      <c r="L136" s="3">
        <v>127920.42</v>
      </c>
      <c r="M136" s="1">
        <v>43.27</v>
      </c>
    </row>
    <row r="137" spans="1:13" x14ac:dyDescent="0.35">
      <c r="A137" s="1" t="s">
        <v>180</v>
      </c>
      <c r="B137" s="2">
        <v>45602</v>
      </c>
      <c r="C137" s="1" t="s">
        <v>254</v>
      </c>
      <c r="D137" s="1" t="s">
        <v>26</v>
      </c>
      <c r="E137" s="1" t="s">
        <v>27</v>
      </c>
      <c r="F137" s="1" t="s">
        <v>28</v>
      </c>
      <c r="G137" s="1" t="s">
        <v>15</v>
      </c>
      <c r="H137" s="1">
        <v>3</v>
      </c>
      <c r="I137" s="3">
        <v>45273.64</v>
      </c>
      <c r="J137" s="3">
        <v>135820.91</v>
      </c>
      <c r="K137" s="3">
        <v>84167.7</v>
      </c>
      <c r="L137" s="3">
        <v>51653.22</v>
      </c>
      <c r="M137" s="1">
        <v>38.03</v>
      </c>
    </row>
    <row r="138" spans="1:13" x14ac:dyDescent="0.35">
      <c r="A138" s="1" t="s">
        <v>181</v>
      </c>
      <c r="B138" s="2">
        <v>45514</v>
      </c>
      <c r="C138" s="1" t="s">
        <v>257</v>
      </c>
      <c r="D138" s="1" t="s">
        <v>24</v>
      </c>
      <c r="E138" s="1" t="s">
        <v>18</v>
      </c>
      <c r="F138" s="1" t="s">
        <v>30</v>
      </c>
      <c r="G138" s="1" t="s">
        <v>244</v>
      </c>
      <c r="H138" s="1">
        <v>4</v>
      </c>
      <c r="I138" s="3">
        <v>5669.58</v>
      </c>
      <c r="J138" s="3">
        <v>22678.33</v>
      </c>
      <c r="K138" s="3">
        <v>12485.1</v>
      </c>
      <c r="L138" s="3">
        <v>10193.23</v>
      </c>
      <c r="M138" s="1">
        <v>44.95</v>
      </c>
    </row>
    <row r="139" spans="1:13" x14ac:dyDescent="0.35">
      <c r="A139" s="1" t="s">
        <v>182</v>
      </c>
      <c r="B139" s="2">
        <v>45409</v>
      </c>
      <c r="C139" s="1" t="s">
        <v>250</v>
      </c>
      <c r="D139" s="1" t="s">
        <v>12</v>
      </c>
      <c r="E139" s="1" t="s">
        <v>27</v>
      </c>
      <c r="F139" s="1" t="s">
        <v>78</v>
      </c>
      <c r="G139" s="1" t="s">
        <v>244</v>
      </c>
      <c r="H139" s="1">
        <v>6</v>
      </c>
      <c r="I139" s="3">
        <v>4674.57</v>
      </c>
      <c r="J139" s="3">
        <v>28047.439999999999</v>
      </c>
      <c r="K139" s="3">
        <v>18032.75</v>
      </c>
      <c r="L139" s="3">
        <v>10014.69</v>
      </c>
      <c r="M139" s="1">
        <v>35.71</v>
      </c>
    </row>
    <row r="140" spans="1:13" x14ac:dyDescent="0.35">
      <c r="A140" s="1" t="s">
        <v>183</v>
      </c>
      <c r="B140" s="2">
        <v>45626</v>
      </c>
      <c r="C140" s="1" t="s">
        <v>254</v>
      </c>
      <c r="D140" s="1" t="s">
        <v>26</v>
      </c>
      <c r="E140" s="1" t="s">
        <v>18</v>
      </c>
      <c r="F140" s="1" t="s">
        <v>88</v>
      </c>
      <c r="G140" s="1" t="s">
        <v>39</v>
      </c>
      <c r="H140" s="1">
        <v>3</v>
      </c>
      <c r="I140" s="3">
        <v>37578.74</v>
      </c>
      <c r="J140" s="3">
        <v>112736.22</v>
      </c>
      <c r="K140" s="3">
        <v>64316.89</v>
      </c>
      <c r="L140" s="3">
        <v>48419.33</v>
      </c>
      <c r="M140" s="1">
        <v>42.95</v>
      </c>
    </row>
    <row r="141" spans="1:13" x14ac:dyDescent="0.35">
      <c r="A141" s="1" t="s">
        <v>184</v>
      </c>
      <c r="B141" s="2">
        <v>45409</v>
      </c>
      <c r="C141" s="1" t="s">
        <v>250</v>
      </c>
      <c r="D141" s="1" t="s">
        <v>12</v>
      </c>
      <c r="E141" s="1" t="s">
        <v>13</v>
      </c>
      <c r="F141" s="1" t="s">
        <v>74</v>
      </c>
      <c r="G141" s="1" t="s">
        <v>244</v>
      </c>
      <c r="H141" s="1">
        <v>1</v>
      </c>
      <c r="I141" s="3">
        <v>4944.99</v>
      </c>
      <c r="J141" s="3">
        <v>4944.99</v>
      </c>
      <c r="K141" s="3">
        <v>2981.75</v>
      </c>
      <c r="L141" s="3">
        <v>1963.24</v>
      </c>
      <c r="M141" s="1">
        <v>39.700000000000003</v>
      </c>
    </row>
    <row r="142" spans="1:13" x14ac:dyDescent="0.35">
      <c r="A142" s="1" t="s">
        <v>185</v>
      </c>
      <c r="B142" s="2">
        <v>45292</v>
      </c>
      <c r="C142" s="1" t="s">
        <v>258</v>
      </c>
      <c r="D142" s="1" t="s">
        <v>34</v>
      </c>
      <c r="E142" s="1" t="s">
        <v>35</v>
      </c>
      <c r="F142" s="1" t="s">
        <v>41</v>
      </c>
      <c r="G142" s="1" t="s">
        <v>244</v>
      </c>
      <c r="H142" s="1">
        <v>6</v>
      </c>
      <c r="I142" s="3">
        <v>4324.95</v>
      </c>
      <c r="J142" s="3">
        <v>25949.72</v>
      </c>
      <c r="K142" s="3">
        <v>14672.91</v>
      </c>
      <c r="L142" s="3">
        <v>11276.81</v>
      </c>
      <c r="M142" s="1">
        <v>43.46</v>
      </c>
    </row>
    <row r="143" spans="1:13" x14ac:dyDescent="0.35">
      <c r="A143" s="1" t="s">
        <v>186</v>
      </c>
      <c r="B143" s="2">
        <v>45647</v>
      </c>
      <c r="C143" s="1" t="s">
        <v>252</v>
      </c>
      <c r="D143" s="1" t="s">
        <v>26</v>
      </c>
      <c r="E143" s="1" t="s">
        <v>13</v>
      </c>
      <c r="F143" s="1" t="s">
        <v>109</v>
      </c>
      <c r="G143" s="1" t="s">
        <v>15</v>
      </c>
      <c r="H143" s="1">
        <v>1</v>
      </c>
      <c r="I143" s="3">
        <v>50538.46</v>
      </c>
      <c r="J143" s="3">
        <v>50538.46</v>
      </c>
      <c r="K143" s="3">
        <v>30091.95</v>
      </c>
      <c r="L143" s="3">
        <v>20446.509999999998</v>
      </c>
      <c r="M143" s="1">
        <v>40.46</v>
      </c>
    </row>
    <row r="144" spans="1:13" x14ac:dyDescent="0.35">
      <c r="A144" s="1" t="s">
        <v>187</v>
      </c>
      <c r="B144" s="2">
        <v>45552</v>
      </c>
      <c r="C144" s="1" t="s">
        <v>253</v>
      </c>
      <c r="D144" s="1" t="s">
        <v>24</v>
      </c>
      <c r="E144" s="1" t="s">
        <v>35</v>
      </c>
      <c r="F144" s="1" t="s">
        <v>36</v>
      </c>
      <c r="G144" s="1" t="s">
        <v>39</v>
      </c>
      <c r="H144" s="1">
        <v>5</v>
      </c>
      <c r="I144" s="3">
        <v>35268.57</v>
      </c>
      <c r="J144" s="3">
        <v>176342.87</v>
      </c>
      <c r="K144" s="3">
        <v>98538.07</v>
      </c>
      <c r="L144" s="3">
        <v>77804.800000000003</v>
      </c>
      <c r="M144" s="1">
        <v>44.12</v>
      </c>
    </row>
    <row r="145" spans="1:13" x14ac:dyDescent="0.35">
      <c r="A145" s="1" t="s">
        <v>188</v>
      </c>
      <c r="B145" s="2">
        <v>45610</v>
      </c>
      <c r="C145" s="1" t="s">
        <v>254</v>
      </c>
      <c r="D145" s="1" t="s">
        <v>26</v>
      </c>
      <c r="E145" s="1" t="s">
        <v>13</v>
      </c>
      <c r="F145" s="1" t="s">
        <v>19</v>
      </c>
      <c r="G145" s="1" t="s">
        <v>22</v>
      </c>
      <c r="H145" s="1">
        <v>1</v>
      </c>
      <c r="I145" s="3">
        <v>17978.189999999999</v>
      </c>
      <c r="J145" s="3">
        <v>17978.189999999999</v>
      </c>
      <c r="K145" s="3">
        <v>10735.82</v>
      </c>
      <c r="L145" s="3">
        <v>7242.38</v>
      </c>
      <c r="M145" s="1">
        <v>40.28</v>
      </c>
    </row>
    <row r="146" spans="1:13" x14ac:dyDescent="0.35">
      <c r="A146" s="1" t="s">
        <v>189</v>
      </c>
      <c r="B146" s="2">
        <v>45385</v>
      </c>
      <c r="C146" s="1" t="s">
        <v>250</v>
      </c>
      <c r="D146" s="1" t="s">
        <v>12</v>
      </c>
      <c r="E146" s="1" t="s">
        <v>27</v>
      </c>
      <c r="F146" s="1" t="s">
        <v>69</v>
      </c>
      <c r="G146" s="1" t="s">
        <v>39</v>
      </c>
      <c r="H146" s="1">
        <v>4</v>
      </c>
      <c r="I146" s="3">
        <v>39475.4</v>
      </c>
      <c r="J146" s="3">
        <v>157901.60999999999</v>
      </c>
      <c r="K146" s="3">
        <v>88808.56</v>
      </c>
      <c r="L146" s="3">
        <v>69093.05</v>
      </c>
      <c r="M146" s="1">
        <v>43.76</v>
      </c>
    </row>
    <row r="147" spans="1:13" x14ac:dyDescent="0.35">
      <c r="A147" s="1" t="s">
        <v>190</v>
      </c>
      <c r="B147" s="2">
        <v>45428</v>
      </c>
      <c r="C147" s="1" t="s">
        <v>17</v>
      </c>
      <c r="D147" s="1" t="s">
        <v>12</v>
      </c>
      <c r="E147" s="1" t="s">
        <v>35</v>
      </c>
      <c r="F147" s="1" t="s">
        <v>36</v>
      </c>
      <c r="G147" s="1" t="s">
        <v>15</v>
      </c>
      <c r="H147" s="1">
        <v>3</v>
      </c>
      <c r="I147" s="3">
        <v>58896.74</v>
      </c>
      <c r="J147" s="3">
        <v>176690.22</v>
      </c>
      <c r="K147" s="3">
        <v>109929.53</v>
      </c>
      <c r="L147" s="3">
        <v>66760.7</v>
      </c>
      <c r="M147" s="1">
        <v>37.78</v>
      </c>
    </row>
    <row r="148" spans="1:13" x14ac:dyDescent="0.35">
      <c r="A148" s="1" t="s">
        <v>191</v>
      </c>
      <c r="B148" s="2">
        <v>45351</v>
      </c>
      <c r="C148" s="1" t="s">
        <v>255</v>
      </c>
      <c r="D148" s="1" t="s">
        <v>34</v>
      </c>
      <c r="E148" s="1" t="s">
        <v>13</v>
      </c>
      <c r="F148" s="1" t="s">
        <v>192</v>
      </c>
      <c r="G148" s="1" t="s">
        <v>15</v>
      </c>
      <c r="H148" s="1">
        <v>1</v>
      </c>
      <c r="I148" s="3">
        <v>56257.53</v>
      </c>
      <c r="J148" s="3">
        <v>56257.53</v>
      </c>
      <c r="K148" s="3">
        <v>35439.64</v>
      </c>
      <c r="L148" s="3">
        <v>20817.89</v>
      </c>
      <c r="M148" s="1">
        <v>37</v>
      </c>
    </row>
    <row r="149" spans="1:13" x14ac:dyDescent="0.35">
      <c r="A149" s="1" t="s">
        <v>193</v>
      </c>
      <c r="B149" s="2">
        <v>45582</v>
      </c>
      <c r="C149" s="1" t="s">
        <v>260</v>
      </c>
      <c r="D149" s="1" t="s">
        <v>26</v>
      </c>
      <c r="E149" s="1" t="s">
        <v>13</v>
      </c>
      <c r="F149" s="1" t="s">
        <v>19</v>
      </c>
      <c r="G149" s="1" t="s">
        <v>22</v>
      </c>
      <c r="H149" s="1">
        <v>3</v>
      </c>
      <c r="I149" s="3">
        <v>18325.990000000002</v>
      </c>
      <c r="J149" s="3">
        <v>54977.96</v>
      </c>
      <c r="K149" s="3">
        <v>33113.58</v>
      </c>
      <c r="L149" s="3">
        <v>21864.37</v>
      </c>
      <c r="M149" s="1">
        <v>39.770000000000003</v>
      </c>
    </row>
    <row r="150" spans="1:13" x14ac:dyDescent="0.35">
      <c r="A150" s="1" t="s">
        <v>194</v>
      </c>
      <c r="B150" s="2">
        <v>45423</v>
      </c>
      <c r="C150" s="1" t="s">
        <v>17</v>
      </c>
      <c r="D150" s="1" t="s">
        <v>12</v>
      </c>
      <c r="E150" s="1" t="s">
        <v>27</v>
      </c>
      <c r="F150" s="1" t="s">
        <v>69</v>
      </c>
      <c r="G150" s="1" t="s">
        <v>39</v>
      </c>
      <c r="H150" s="1">
        <v>1</v>
      </c>
      <c r="I150" s="3">
        <v>35244.730000000003</v>
      </c>
      <c r="J150" s="3">
        <v>35244.730000000003</v>
      </c>
      <c r="K150" s="3">
        <v>20977.48</v>
      </c>
      <c r="L150" s="3">
        <v>14267.25</v>
      </c>
      <c r="M150" s="1">
        <v>40.479999999999997</v>
      </c>
    </row>
    <row r="151" spans="1:13" x14ac:dyDescent="0.35">
      <c r="A151" s="1" t="s">
        <v>195</v>
      </c>
      <c r="B151" s="2">
        <v>45395</v>
      </c>
      <c r="C151" s="1" t="s">
        <v>250</v>
      </c>
      <c r="D151" s="1" t="s">
        <v>12</v>
      </c>
      <c r="E151" s="1" t="s">
        <v>18</v>
      </c>
      <c r="F151" s="1" t="s">
        <v>49</v>
      </c>
      <c r="G151" s="1" t="s">
        <v>15</v>
      </c>
      <c r="H151" s="1">
        <v>5</v>
      </c>
      <c r="I151" s="3">
        <v>49520.67</v>
      </c>
      <c r="J151" s="3">
        <v>247603.34</v>
      </c>
      <c r="K151" s="3">
        <v>154692.9</v>
      </c>
      <c r="L151" s="3">
        <v>92910.45</v>
      </c>
      <c r="M151" s="1">
        <v>37.520000000000003</v>
      </c>
    </row>
    <row r="152" spans="1:13" x14ac:dyDescent="0.35">
      <c r="A152" s="1" t="s">
        <v>196</v>
      </c>
      <c r="B152" s="2">
        <v>45434</v>
      </c>
      <c r="C152" s="1" t="s">
        <v>17</v>
      </c>
      <c r="D152" s="1" t="s">
        <v>12</v>
      </c>
      <c r="E152" s="1" t="s">
        <v>27</v>
      </c>
      <c r="F152" s="1" t="s">
        <v>69</v>
      </c>
      <c r="G152" s="1" t="s">
        <v>22</v>
      </c>
      <c r="H152" s="1">
        <v>1</v>
      </c>
      <c r="I152" s="3">
        <v>16957.41</v>
      </c>
      <c r="J152" s="3">
        <v>16957.41</v>
      </c>
      <c r="K152" s="3">
        <v>10228.469999999999</v>
      </c>
      <c r="L152" s="3">
        <v>6728.94</v>
      </c>
      <c r="M152" s="1">
        <v>39.68</v>
      </c>
    </row>
    <row r="153" spans="1:13" x14ac:dyDescent="0.35">
      <c r="A153" s="1" t="s">
        <v>197</v>
      </c>
      <c r="B153" s="2">
        <v>45600</v>
      </c>
      <c r="C153" s="1" t="s">
        <v>254</v>
      </c>
      <c r="D153" s="1" t="s">
        <v>26</v>
      </c>
      <c r="E153" s="1" t="s">
        <v>18</v>
      </c>
      <c r="F153" s="1" t="s">
        <v>19</v>
      </c>
      <c r="G153" s="1" t="s">
        <v>15</v>
      </c>
      <c r="H153" s="1">
        <v>6</v>
      </c>
      <c r="I153" s="3">
        <v>59097.48</v>
      </c>
      <c r="J153" s="3">
        <v>354584.89</v>
      </c>
      <c r="K153" s="3">
        <v>217279.27</v>
      </c>
      <c r="L153" s="3">
        <v>137305.62</v>
      </c>
      <c r="M153" s="1">
        <v>38.72</v>
      </c>
    </row>
    <row r="154" spans="1:13" x14ac:dyDescent="0.35">
      <c r="A154" s="1" t="s">
        <v>198</v>
      </c>
      <c r="B154" s="2">
        <v>45333</v>
      </c>
      <c r="C154" s="1" t="s">
        <v>255</v>
      </c>
      <c r="D154" s="1" t="s">
        <v>34</v>
      </c>
      <c r="E154" s="1" t="s">
        <v>13</v>
      </c>
      <c r="F154" s="1" t="s">
        <v>74</v>
      </c>
      <c r="G154" s="1" t="s">
        <v>15</v>
      </c>
      <c r="H154" s="1">
        <v>5</v>
      </c>
      <c r="I154" s="3">
        <v>52431.35</v>
      </c>
      <c r="J154" s="3">
        <v>262156.77</v>
      </c>
      <c r="K154" s="3">
        <v>163624.12</v>
      </c>
      <c r="L154" s="3">
        <v>98532.65</v>
      </c>
      <c r="M154" s="1">
        <v>37.590000000000003</v>
      </c>
    </row>
    <row r="155" spans="1:13" x14ac:dyDescent="0.35">
      <c r="A155" s="1" t="s">
        <v>199</v>
      </c>
      <c r="B155" s="2">
        <v>45448</v>
      </c>
      <c r="C155" s="1" t="s">
        <v>256</v>
      </c>
      <c r="D155" s="1" t="s">
        <v>12</v>
      </c>
      <c r="E155" s="1" t="s">
        <v>18</v>
      </c>
      <c r="F155" s="1" t="s">
        <v>64</v>
      </c>
      <c r="G155" s="1" t="s">
        <v>22</v>
      </c>
      <c r="H155" s="1">
        <v>5</v>
      </c>
      <c r="I155" s="3">
        <v>16242.45</v>
      </c>
      <c r="J155" s="3">
        <v>81212.23</v>
      </c>
      <c r="K155" s="3">
        <v>50708.480000000003</v>
      </c>
      <c r="L155" s="3">
        <v>30503.75</v>
      </c>
      <c r="M155" s="1">
        <v>37.56</v>
      </c>
    </row>
    <row r="156" spans="1:13" x14ac:dyDescent="0.35">
      <c r="A156" s="1" t="s">
        <v>200</v>
      </c>
      <c r="B156" s="2">
        <v>45545</v>
      </c>
      <c r="C156" s="1" t="s">
        <v>253</v>
      </c>
      <c r="D156" s="1" t="s">
        <v>24</v>
      </c>
      <c r="E156" s="1" t="s">
        <v>13</v>
      </c>
      <c r="F156" s="1" t="s">
        <v>58</v>
      </c>
      <c r="G156" s="1" t="s">
        <v>39</v>
      </c>
      <c r="H156" s="1">
        <v>2</v>
      </c>
      <c r="I156" s="3">
        <v>32409.72</v>
      </c>
      <c r="J156" s="3">
        <v>64819.44</v>
      </c>
      <c r="K156" s="3">
        <v>40542.199999999997</v>
      </c>
      <c r="L156" s="3">
        <v>24277.25</v>
      </c>
      <c r="M156" s="1">
        <v>37.450000000000003</v>
      </c>
    </row>
    <row r="157" spans="1:13" x14ac:dyDescent="0.35">
      <c r="A157" s="1" t="s">
        <v>201</v>
      </c>
      <c r="B157" s="2">
        <v>45409</v>
      </c>
      <c r="C157" s="1" t="s">
        <v>250</v>
      </c>
      <c r="D157" s="1" t="s">
        <v>12</v>
      </c>
      <c r="E157" s="1" t="s">
        <v>18</v>
      </c>
      <c r="F157" s="1" t="s">
        <v>64</v>
      </c>
      <c r="G157" s="1" t="s">
        <v>15</v>
      </c>
      <c r="H157" s="1">
        <v>7</v>
      </c>
      <c r="I157" s="3">
        <v>57696.78</v>
      </c>
      <c r="J157" s="3">
        <v>403877.49</v>
      </c>
      <c r="K157" s="3">
        <v>227281.6</v>
      </c>
      <c r="L157" s="3">
        <v>176595.89</v>
      </c>
      <c r="M157" s="1">
        <v>43.73</v>
      </c>
    </row>
    <row r="158" spans="1:13" x14ac:dyDescent="0.35">
      <c r="A158" s="1" t="s">
        <v>202</v>
      </c>
      <c r="B158" s="2">
        <v>45475</v>
      </c>
      <c r="C158" s="1" t="s">
        <v>251</v>
      </c>
      <c r="D158" s="1" t="s">
        <v>24</v>
      </c>
      <c r="E158" s="1" t="s">
        <v>13</v>
      </c>
      <c r="F158" s="1" t="s">
        <v>192</v>
      </c>
      <c r="G158" s="1" t="s">
        <v>22</v>
      </c>
      <c r="H158" s="1">
        <v>5</v>
      </c>
      <c r="I158" s="3">
        <v>16146.26</v>
      </c>
      <c r="J158" s="3">
        <v>80731.28</v>
      </c>
      <c r="K158" s="3">
        <v>50233.04</v>
      </c>
      <c r="L158" s="3">
        <v>30498.240000000002</v>
      </c>
      <c r="M158" s="1">
        <v>37.78</v>
      </c>
    </row>
    <row r="159" spans="1:13" x14ac:dyDescent="0.35">
      <c r="A159" s="1" t="s">
        <v>203</v>
      </c>
      <c r="B159" s="2">
        <v>45421</v>
      </c>
      <c r="C159" s="1" t="s">
        <v>17</v>
      </c>
      <c r="D159" s="1" t="s">
        <v>12</v>
      </c>
      <c r="E159" s="1" t="s">
        <v>18</v>
      </c>
      <c r="F159" s="1" t="s">
        <v>19</v>
      </c>
      <c r="G159" s="1" t="s">
        <v>15</v>
      </c>
      <c r="H159" s="1">
        <v>3</v>
      </c>
      <c r="I159" s="3">
        <v>53482.63</v>
      </c>
      <c r="J159" s="3">
        <v>160447.88</v>
      </c>
      <c r="K159" s="3">
        <v>99737.27</v>
      </c>
      <c r="L159" s="3">
        <v>60710.6</v>
      </c>
      <c r="M159" s="1">
        <v>37.840000000000003</v>
      </c>
    </row>
    <row r="160" spans="1:13" x14ac:dyDescent="0.35">
      <c r="A160" s="1" t="s">
        <v>204</v>
      </c>
      <c r="B160" s="2">
        <v>45574</v>
      </c>
      <c r="C160" s="1" t="s">
        <v>260</v>
      </c>
      <c r="D160" s="1" t="s">
        <v>26</v>
      </c>
      <c r="E160" s="1" t="s">
        <v>13</v>
      </c>
      <c r="F160" s="1" t="s">
        <v>192</v>
      </c>
      <c r="G160" s="1" t="s">
        <v>15</v>
      </c>
      <c r="H160" s="1">
        <v>6</v>
      </c>
      <c r="I160" s="3">
        <v>58626.76</v>
      </c>
      <c r="J160" s="3">
        <v>351760.55</v>
      </c>
      <c r="K160" s="3">
        <v>213989.72</v>
      </c>
      <c r="L160" s="3">
        <v>137770.82999999999</v>
      </c>
      <c r="M160" s="1">
        <v>39.17</v>
      </c>
    </row>
    <row r="161" spans="1:13" x14ac:dyDescent="0.35">
      <c r="A161" s="1" t="s">
        <v>205</v>
      </c>
      <c r="B161" s="2">
        <v>45491</v>
      </c>
      <c r="C161" s="1" t="s">
        <v>251</v>
      </c>
      <c r="D161" s="1" t="s">
        <v>24</v>
      </c>
      <c r="E161" s="1" t="s">
        <v>35</v>
      </c>
      <c r="F161" s="1" t="s">
        <v>41</v>
      </c>
      <c r="G161" s="1" t="s">
        <v>15</v>
      </c>
      <c r="H161" s="1">
        <v>4</v>
      </c>
      <c r="I161" s="3">
        <v>58677.79</v>
      </c>
      <c r="J161" s="3">
        <v>234711.14</v>
      </c>
      <c r="K161" s="3">
        <v>132356.34</v>
      </c>
      <c r="L161" s="3">
        <v>102354.8</v>
      </c>
      <c r="M161" s="1">
        <v>43.61</v>
      </c>
    </row>
    <row r="162" spans="1:13" x14ac:dyDescent="0.35">
      <c r="A162" s="1" t="s">
        <v>206</v>
      </c>
      <c r="B162" s="2">
        <v>45501</v>
      </c>
      <c r="C162" s="1" t="s">
        <v>251</v>
      </c>
      <c r="D162" s="1" t="s">
        <v>24</v>
      </c>
      <c r="E162" s="1" t="s">
        <v>27</v>
      </c>
      <c r="F162" s="1" t="s">
        <v>69</v>
      </c>
      <c r="G162" s="1" t="s">
        <v>15</v>
      </c>
      <c r="H162" s="1">
        <v>4</v>
      </c>
      <c r="I162" s="3">
        <v>53894.44</v>
      </c>
      <c r="J162" s="3">
        <v>215577.77</v>
      </c>
      <c r="K162" s="3">
        <v>120771.25</v>
      </c>
      <c r="L162" s="3">
        <v>94806.52</v>
      </c>
      <c r="M162" s="1">
        <v>43.98</v>
      </c>
    </row>
    <row r="163" spans="1:13" x14ac:dyDescent="0.35">
      <c r="A163" s="1" t="s">
        <v>207</v>
      </c>
      <c r="B163" s="2">
        <v>45615</v>
      </c>
      <c r="C163" s="1" t="s">
        <v>254</v>
      </c>
      <c r="D163" s="1" t="s">
        <v>26</v>
      </c>
      <c r="E163" s="1" t="s">
        <v>13</v>
      </c>
      <c r="F163" s="1" t="s">
        <v>192</v>
      </c>
      <c r="G163" s="1" t="s">
        <v>22</v>
      </c>
      <c r="H163" s="1">
        <v>7</v>
      </c>
      <c r="I163" s="3">
        <v>15762.7</v>
      </c>
      <c r="J163" s="3">
        <v>110338.87</v>
      </c>
      <c r="K163" s="3">
        <v>67045.08</v>
      </c>
      <c r="L163" s="3">
        <v>43293.79</v>
      </c>
      <c r="M163" s="1">
        <v>39.24</v>
      </c>
    </row>
    <row r="164" spans="1:13" x14ac:dyDescent="0.35">
      <c r="A164" s="1" t="s">
        <v>208</v>
      </c>
      <c r="B164" s="2">
        <v>45342</v>
      </c>
      <c r="C164" s="1" t="s">
        <v>255</v>
      </c>
      <c r="D164" s="1" t="s">
        <v>34</v>
      </c>
      <c r="E164" s="1" t="s">
        <v>13</v>
      </c>
      <c r="F164" s="1" t="s">
        <v>90</v>
      </c>
      <c r="G164" s="1" t="s">
        <v>244</v>
      </c>
      <c r="H164" s="1">
        <v>1</v>
      </c>
      <c r="I164" s="3">
        <v>5702.27</v>
      </c>
      <c r="J164" s="3">
        <v>5702.27</v>
      </c>
      <c r="K164" s="3">
        <v>3393.33</v>
      </c>
      <c r="L164" s="3">
        <v>2308.94</v>
      </c>
      <c r="M164" s="1">
        <v>40.49</v>
      </c>
    </row>
    <row r="165" spans="1:13" x14ac:dyDescent="0.35">
      <c r="A165" s="1" t="s">
        <v>209</v>
      </c>
      <c r="B165" s="2">
        <v>45593</v>
      </c>
      <c r="C165" s="1" t="s">
        <v>260</v>
      </c>
      <c r="D165" s="1" t="s">
        <v>26</v>
      </c>
      <c r="E165" s="1" t="s">
        <v>13</v>
      </c>
      <c r="F165" s="1" t="s">
        <v>19</v>
      </c>
      <c r="G165" s="1" t="s">
        <v>39</v>
      </c>
      <c r="H165" s="1">
        <v>6</v>
      </c>
      <c r="I165" s="3">
        <v>27794.81</v>
      </c>
      <c r="J165" s="3">
        <v>166768.88</v>
      </c>
      <c r="K165" s="3">
        <v>105689.62</v>
      </c>
      <c r="L165" s="3">
        <v>61079.26</v>
      </c>
      <c r="M165" s="1">
        <v>36.630000000000003</v>
      </c>
    </row>
    <row r="166" spans="1:13" x14ac:dyDescent="0.35">
      <c r="A166" s="1" t="s">
        <v>210</v>
      </c>
      <c r="B166" s="2">
        <v>45292</v>
      </c>
      <c r="C166" s="1" t="s">
        <v>258</v>
      </c>
      <c r="D166" s="1" t="s">
        <v>34</v>
      </c>
      <c r="E166" s="1" t="s">
        <v>18</v>
      </c>
      <c r="F166" s="1" t="s">
        <v>52</v>
      </c>
      <c r="G166" s="1" t="s">
        <v>15</v>
      </c>
      <c r="H166" s="1">
        <v>7</v>
      </c>
      <c r="I166" s="3">
        <v>50985.04</v>
      </c>
      <c r="J166" s="3">
        <v>356895.28</v>
      </c>
      <c r="K166" s="3">
        <v>198246.82</v>
      </c>
      <c r="L166" s="3">
        <v>158648.46</v>
      </c>
      <c r="M166" s="1">
        <v>44.45</v>
      </c>
    </row>
    <row r="167" spans="1:13" x14ac:dyDescent="0.35">
      <c r="A167" s="1" t="s">
        <v>211</v>
      </c>
      <c r="B167" s="2">
        <v>45428</v>
      </c>
      <c r="C167" s="1" t="s">
        <v>17</v>
      </c>
      <c r="D167" s="1" t="s">
        <v>12</v>
      </c>
      <c r="E167" s="1" t="s">
        <v>35</v>
      </c>
      <c r="F167" s="1" t="s">
        <v>36</v>
      </c>
      <c r="G167" s="1" t="s">
        <v>22</v>
      </c>
      <c r="H167" s="1">
        <v>5</v>
      </c>
      <c r="I167" s="3">
        <v>18018.61</v>
      </c>
      <c r="J167" s="3">
        <v>90093.04</v>
      </c>
      <c r="K167" s="3">
        <v>50580.639999999999</v>
      </c>
      <c r="L167" s="3">
        <v>39512.400000000001</v>
      </c>
      <c r="M167" s="1">
        <v>43.86</v>
      </c>
    </row>
    <row r="168" spans="1:13" x14ac:dyDescent="0.35">
      <c r="A168" s="1" t="s">
        <v>212</v>
      </c>
      <c r="B168" s="2">
        <v>45535</v>
      </c>
      <c r="C168" s="1" t="s">
        <v>257</v>
      </c>
      <c r="D168" s="1" t="s">
        <v>24</v>
      </c>
      <c r="E168" s="1" t="s">
        <v>27</v>
      </c>
      <c r="F168" s="1" t="s">
        <v>78</v>
      </c>
      <c r="G168" s="1" t="s">
        <v>15</v>
      </c>
      <c r="H168" s="1">
        <v>6</v>
      </c>
      <c r="I168" s="3">
        <v>50195.19</v>
      </c>
      <c r="J168" s="3">
        <v>301171.14</v>
      </c>
      <c r="K168" s="3">
        <v>176093.36</v>
      </c>
      <c r="L168" s="3">
        <v>125077.78</v>
      </c>
      <c r="M168" s="1">
        <v>41.53</v>
      </c>
    </row>
    <row r="169" spans="1:13" x14ac:dyDescent="0.35">
      <c r="A169" s="1" t="s">
        <v>213</v>
      </c>
      <c r="B169" s="2">
        <v>45638</v>
      </c>
      <c r="C169" s="1" t="s">
        <v>252</v>
      </c>
      <c r="D169" s="1" t="s">
        <v>26</v>
      </c>
      <c r="E169" s="1" t="s">
        <v>27</v>
      </c>
      <c r="F169" s="1" t="s">
        <v>54</v>
      </c>
      <c r="G169" s="1" t="s">
        <v>15</v>
      </c>
      <c r="H169" s="1">
        <v>3</v>
      </c>
      <c r="I169" s="3">
        <v>51786.59</v>
      </c>
      <c r="J169" s="3">
        <v>155359.78</v>
      </c>
      <c r="K169" s="3">
        <v>87636.23</v>
      </c>
      <c r="L169" s="3">
        <v>67723.55</v>
      </c>
      <c r="M169" s="1">
        <v>43.59</v>
      </c>
    </row>
    <row r="170" spans="1:13" x14ac:dyDescent="0.35">
      <c r="A170" s="1" t="s">
        <v>214</v>
      </c>
      <c r="B170" s="2">
        <v>45443</v>
      </c>
      <c r="C170" s="1" t="s">
        <v>17</v>
      </c>
      <c r="D170" s="1" t="s">
        <v>12</v>
      </c>
      <c r="E170" s="1" t="s">
        <v>27</v>
      </c>
      <c r="F170" s="1" t="s">
        <v>28</v>
      </c>
      <c r="G170" s="1" t="s">
        <v>244</v>
      </c>
      <c r="H170" s="1">
        <v>6</v>
      </c>
      <c r="I170" s="3">
        <v>2135.52</v>
      </c>
      <c r="J170" s="3">
        <v>12813.1</v>
      </c>
      <c r="K170" s="3">
        <v>7446.3</v>
      </c>
      <c r="L170" s="3">
        <v>5366.8</v>
      </c>
      <c r="M170" s="1">
        <v>41.89</v>
      </c>
    </row>
    <row r="171" spans="1:13" x14ac:dyDescent="0.35">
      <c r="A171" s="1" t="s">
        <v>215</v>
      </c>
      <c r="B171" s="2">
        <v>45576</v>
      </c>
      <c r="C171" s="1" t="s">
        <v>260</v>
      </c>
      <c r="D171" s="1" t="s">
        <v>26</v>
      </c>
      <c r="E171" s="1" t="s">
        <v>18</v>
      </c>
      <c r="F171" s="1" t="s">
        <v>21</v>
      </c>
      <c r="G171" s="1" t="s">
        <v>39</v>
      </c>
      <c r="H171" s="1">
        <v>4</v>
      </c>
      <c r="I171" s="3">
        <v>28190.21</v>
      </c>
      <c r="J171" s="3">
        <v>112760.85</v>
      </c>
      <c r="K171" s="3">
        <v>67827.61</v>
      </c>
      <c r="L171" s="3">
        <v>44933.24</v>
      </c>
      <c r="M171" s="1">
        <v>39.85</v>
      </c>
    </row>
    <row r="172" spans="1:13" x14ac:dyDescent="0.35">
      <c r="A172" s="1" t="s">
        <v>216</v>
      </c>
      <c r="B172" s="2">
        <v>45628</v>
      </c>
      <c r="C172" s="1" t="s">
        <v>252</v>
      </c>
      <c r="D172" s="1" t="s">
        <v>26</v>
      </c>
      <c r="E172" s="1" t="s">
        <v>13</v>
      </c>
      <c r="F172" s="1" t="s">
        <v>14</v>
      </c>
      <c r="G172" s="1" t="s">
        <v>22</v>
      </c>
      <c r="H172" s="1">
        <v>4</v>
      </c>
      <c r="I172" s="3">
        <v>17073.12</v>
      </c>
      <c r="J172" s="3">
        <v>68292.479999999996</v>
      </c>
      <c r="K172" s="3">
        <v>38143.74</v>
      </c>
      <c r="L172" s="3">
        <v>30148.74</v>
      </c>
      <c r="M172" s="1">
        <v>44.15</v>
      </c>
    </row>
    <row r="173" spans="1:13" x14ac:dyDescent="0.35">
      <c r="A173" s="1" t="s">
        <v>217</v>
      </c>
      <c r="B173" s="2">
        <v>45480</v>
      </c>
      <c r="C173" s="1" t="s">
        <v>251</v>
      </c>
      <c r="D173" s="1" t="s">
        <v>24</v>
      </c>
      <c r="E173" s="1" t="s">
        <v>27</v>
      </c>
      <c r="F173" s="1" t="s">
        <v>28</v>
      </c>
      <c r="G173" s="1" t="s">
        <v>22</v>
      </c>
      <c r="H173" s="1">
        <v>5</v>
      </c>
      <c r="I173" s="3">
        <v>16986.59</v>
      </c>
      <c r="J173" s="3">
        <v>84932.95</v>
      </c>
      <c r="K173" s="3">
        <v>50337.97</v>
      </c>
      <c r="L173" s="3">
        <v>34594.980000000003</v>
      </c>
      <c r="M173" s="1">
        <v>40.729999999999997</v>
      </c>
    </row>
    <row r="174" spans="1:13" x14ac:dyDescent="0.35">
      <c r="A174" s="1" t="s">
        <v>218</v>
      </c>
      <c r="B174" s="2">
        <v>45502</v>
      </c>
      <c r="C174" s="1" t="s">
        <v>251</v>
      </c>
      <c r="D174" s="1" t="s">
        <v>24</v>
      </c>
      <c r="E174" s="1" t="s">
        <v>18</v>
      </c>
      <c r="F174" s="1" t="s">
        <v>49</v>
      </c>
      <c r="G174" s="1" t="s">
        <v>39</v>
      </c>
      <c r="H174" s="1">
        <v>5</v>
      </c>
      <c r="I174" s="3">
        <v>34374.639999999999</v>
      </c>
      <c r="J174" s="3">
        <v>171873.2</v>
      </c>
      <c r="K174" s="3">
        <v>101022.36</v>
      </c>
      <c r="L174" s="3">
        <v>70850.84</v>
      </c>
      <c r="M174" s="1">
        <v>41.22</v>
      </c>
    </row>
    <row r="175" spans="1:13" x14ac:dyDescent="0.35">
      <c r="A175" s="1" t="s">
        <v>219</v>
      </c>
      <c r="B175" s="2">
        <v>45435</v>
      </c>
      <c r="C175" s="1" t="s">
        <v>17</v>
      </c>
      <c r="D175" s="1" t="s">
        <v>12</v>
      </c>
      <c r="E175" s="1" t="s">
        <v>18</v>
      </c>
      <c r="F175" s="1" t="s">
        <v>21</v>
      </c>
      <c r="G175" s="1" t="s">
        <v>22</v>
      </c>
      <c r="H175" s="1">
        <v>6</v>
      </c>
      <c r="I175" s="3">
        <v>18570.3</v>
      </c>
      <c r="J175" s="3">
        <v>111421.78</v>
      </c>
      <c r="K175" s="3">
        <v>67161.119999999995</v>
      </c>
      <c r="L175" s="3">
        <v>44260.65</v>
      </c>
      <c r="M175" s="1">
        <v>39.72</v>
      </c>
    </row>
    <row r="176" spans="1:13" x14ac:dyDescent="0.35">
      <c r="A176" s="1" t="s">
        <v>220</v>
      </c>
      <c r="B176" s="2">
        <v>45404</v>
      </c>
      <c r="C176" s="1" t="s">
        <v>250</v>
      </c>
      <c r="D176" s="1" t="s">
        <v>12</v>
      </c>
      <c r="E176" s="1" t="s">
        <v>35</v>
      </c>
      <c r="F176" s="1" t="s">
        <v>41</v>
      </c>
      <c r="G176" s="1" t="s">
        <v>39</v>
      </c>
      <c r="H176" s="1">
        <v>3</v>
      </c>
      <c r="I176" s="3">
        <v>27328.6</v>
      </c>
      <c r="J176" s="3">
        <v>81985.81</v>
      </c>
      <c r="K176" s="3">
        <v>46583.75</v>
      </c>
      <c r="L176" s="3">
        <v>35402.06</v>
      </c>
      <c r="M176" s="1">
        <v>43.18</v>
      </c>
    </row>
    <row r="177" spans="1:13" x14ac:dyDescent="0.35">
      <c r="A177" s="1" t="s">
        <v>221</v>
      </c>
      <c r="B177" s="2">
        <v>45346</v>
      </c>
      <c r="C177" s="1" t="s">
        <v>255</v>
      </c>
      <c r="D177" s="1" t="s">
        <v>34</v>
      </c>
      <c r="E177" s="1" t="s">
        <v>18</v>
      </c>
      <c r="F177" s="1" t="s">
        <v>88</v>
      </c>
      <c r="G177" s="1" t="s">
        <v>39</v>
      </c>
      <c r="H177" s="1">
        <v>2</v>
      </c>
      <c r="I177" s="3">
        <v>38461.46</v>
      </c>
      <c r="J177" s="3">
        <v>76922.91</v>
      </c>
      <c r="K177" s="3">
        <v>46358.2</v>
      </c>
      <c r="L177" s="3">
        <v>30564.720000000001</v>
      </c>
      <c r="M177" s="1">
        <v>39.729999999999997</v>
      </c>
    </row>
    <row r="178" spans="1:13" x14ac:dyDescent="0.35">
      <c r="A178" s="1" t="s">
        <v>222</v>
      </c>
      <c r="B178" s="2">
        <v>45378</v>
      </c>
      <c r="C178" s="1" t="s">
        <v>259</v>
      </c>
      <c r="D178" s="1" t="s">
        <v>34</v>
      </c>
      <c r="E178" s="1" t="s">
        <v>13</v>
      </c>
      <c r="F178" s="1" t="s">
        <v>60</v>
      </c>
      <c r="G178" s="1" t="s">
        <v>39</v>
      </c>
      <c r="H178" s="1">
        <v>7</v>
      </c>
      <c r="I178" s="3">
        <v>34883.86</v>
      </c>
      <c r="J178" s="3">
        <v>244187.01</v>
      </c>
      <c r="K178" s="3">
        <v>134964.51</v>
      </c>
      <c r="L178" s="3">
        <v>109222.51</v>
      </c>
      <c r="M178" s="1">
        <v>44.73</v>
      </c>
    </row>
    <row r="179" spans="1:13" x14ac:dyDescent="0.35">
      <c r="A179" s="1" t="s">
        <v>223</v>
      </c>
      <c r="B179" s="2">
        <v>45538</v>
      </c>
      <c r="C179" s="1" t="s">
        <v>253</v>
      </c>
      <c r="D179" s="1" t="s">
        <v>24</v>
      </c>
      <c r="E179" s="1" t="s">
        <v>18</v>
      </c>
      <c r="F179" s="1" t="s">
        <v>88</v>
      </c>
      <c r="G179" s="1" t="s">
        <v>15</v>
      </c>
      <c r="H179" s="1">
        <v>3</v>
      </c>
      <c r="I179" s="3">
        <v>52582.62</v>
      </c>
      <c r="J179" s="3">
        <v>157747.85</v>
      </c>
      <c r="K179" s="3">
        <v>96148.09</v>
      </c>
      <c r="L179" s="3">
        <v>61599.76</v>
      </c>
      <c r="M179" s="1">
        <v>39.049999999999997</v>
      </c>
    </row>
    <row r="180" spans="1:13" x14ac:dyDescent="0.35">
      <c r="A180" s="1" t="s">
        <v>224</v>
      </c>
      <c r="B180" s="2">
        <v>45540</v>
      </c>
      <c r="C180" s="1" t="s">
        <v>253</v>
      </c>
      <c r="D180" s="1" t="s">
        <v>24</v>
      </c>
      <c r="E180" s="1" t="s">
        <v>13</v>
      </c>
      <c r="F180" s="1" t="s">
        <v>109</v>
      </c>
      <c r="G180" s="1" t="s">
        <v>15</v>
      </c>
      <c r="H180" s="1">
        <v>1</v>
      </c>
      <c r="I180" s="3">
        <v>53350.82</v>
      </c>
      <c r="J180" s="3">
        <v>53350.82</v>
      </c>
      <c r="K180" s="3">
        <v>33188.550000000003</v>
      </c>
      <c r="L180" s="3">
        <v>20162.27</v>
      </c>
      <c r="M180" s="1">
        <v>37.79</v>
      </c>
    </row>
    <row r="181" spans="1:13" x14ac:dyDescent="0.35">
      <c r="A181" s="1" t="s">
        <v>225</v>
      </c>
      <c r="B181" s="2">
        <v>45582</v>
      </c>
      <c r="C181" s="1" t="s">
        <v>260</v>
      </c>
      <c r="D181" s="1" t="s">
        <v>26</v>
      </c>
      <c r="E181" s="1" t="s">
        <v>18</v>
      </c>
      <c r="F181" s="1" t="s">
        <v>49</v>
      </c>
      <c r="G181" s="1" t="s">
        <v>244</v>
      </c>
      <c r="H181" s="1">
        <v>6</v>
      </c>
      <c r="I181" s="3">
        <v>5320.88</v>
      </c>
      <c r="J181" s="3">
        <v>31925.279999999999</v>
      </c>
      <c r="K181" s="3">
        <v>18826.919999999998</v>
      </c>
      <c r="L181" s="3">
        <v>13098.36</v>
      </c>
      <c r="M181" s="1">
        <v>41.03</v>
      </c>
    </row>
    <row r="182" spans="1:13" x14ac:dyDescent="0.35">
      <c r="A182" s="1" t="s">
        <v>226</v>
      </c>
      <c r="B182" s="2">
        <v>45456</v>
      </c>
      <c r="C182" s="1" t="s">
        <v>256</v>
      </c>
      <c r="D182" s="1" t="s">
        <v>12</v>
      </c>
      <c r="E182" s="1" t="s">
        <v>18</v>
      </c>
      <c r="F182" s="1" t="s">
        <v>64</v>
      </c>
      <c r="G182" s="1" t="s">
        <v>39</v>
      </c>
      <c r="H182" s="1">
        <v>7</v>
      </c>
      <c r="I182" s="3">
        <v>29859.85</v>
      </c>
      <c r="J182" s="3">
        <v>209018.96</v>
      </c>
      <c r="K182" s="3">
        <v>116777.32</v>
      </c>
      <c r="L182" s="3">
        <v>92241.63</v>
      </c>
      <c r="M182" s="1">
        <v>44.13</v>
      </c>
    </row>
    <row r="183" spans="1:13" x14ac:dyDescent="0.35">
      <c r="A183" s="1" t="s">
        <v>227</v>
      </c>
      <c r="B183" s="2">
        <v>45621</v>
      </c>
      <c r="C183" s="1" t="s">
        <v>254</v>
      </c>
      <c r="D183" s="1" t="s">
        <v>26</v>
      </c>
      <c r="E183" s="1" t="s">
        <v>27</v>
      </c>
      <c r="F183" s="1" t="s">
        <v>28</v>
      </c>
      <c r="G183" s="1" t="s">
        <v>22</v>
      </c>
      <c r="H183" s="1">
        <v>3</v>
      </c>
      <c r="I183" s="3">
        <v>15613.88</v>
      </c>
      <c r="J183" s="3">
        <v>46841.65</v>
      </c>
      <c r="K183" s="3">
        <v>29868.32</v>
      </c>
      <c r="L183" s="3">
        <v>16973.34</v>
      </c>
      <c r="M183" s="1">
        <v>36.24</v>
      </c>
    </row>
    <row r="184" spans="1:13" x14ac:dyDescent="0.35">
      <c r="A184" s="1" t="s">
        <v>228</v>
      </c>
      <c r="B184" s="2">
        <v>45576</v>
      </c>
      <c r="C184" s="1" t="s">
        <v>260</v>
      </c>
      <c r="D184" s="1" t="s">
        <v>26</v>
      </c>
      <c r="E184" s="1" t="s">
        <v>13</v>
      </c>
      <c r="F184" s="1" t="s">
        <v>58</v>
      </c>
      <c r="G184" s="1" t="s">
        <v>39</v>
      </c>
      <c r="H184" s="1">
        <v>1</v>
      </c>
      <c r="I184" s="3">
        <v>37261.65</v>
      </c>
      <c r="J184" s="3">
        <v>37261.65</v>
      </c>
      <c r="K184" s="3">
        <v>21767.58</v>
      </c>
      <c r="L184" s="3">
        <v>15494.08</v>
      </c>
      <c r="M184" s="1">
        <v>41.58</v>
      </c>
    </row>
    <row r="185" spans="1:13" x14ac:dyDescent="0.35">
      <c r="A185" s="1" t="s">
        <v>229</v>
      </c>
      <c r="B185" s="2">
        <v>45525</v>
      </c>
      <c r="C185" s="1" t="s">
        <v>257</v>
      </c>
      <c r="D185" s="1" t="s">
        <v>24</v>
      </c>
      <c r="E185" s="1" t="s">
        <v>35</v>
      </c>
      <c r="F185" s="1" t="s">
        <v>97</v>
      </c>
      <c r="G185" s="1" t="s">
        <v>15</v>
      </c>
      <c r="H185" s="1">
        <v>7</v>
      </c>
      <c r="I185" s="3">
        <v>49020.95</v>
      </c>
      <c r="J185" s="3">
        <v>343146.68</v>
      </c>
      <c r="K185" s="3">
        <v>210148.14</v>
      </c>
      <c r="L185" s="3">
        <v>132998.54</v>
      </c>
      <c r="M185" s="1">
        <v>38.76</v>
      </c>
    </row>
    <row r="186" spans="1:13" x14ac:dyDescent="0.35">
      <c r="A186" s="1" t="s">
        <v>230</v>
      </c>
      <c r="B186" s="2">
        <v>45547</v>
      </c>
      <c r="C186" s="1" t="s">
        <v>253</v>
      </c>
      <c r="D186" s="1" t="s">
        <v>24</v>
      </c>
      <c r="E186" s="1" t="s">
        <v>18</v>
      </c>
      <c r="F186" s="1" t="s">
        <v>64</v>
      </c>
      <c r="G186" s="1" t="s">
        <v>39</v>
      </c>
      <c r="H186" s="1">
        <v>5</v>
      </c>
      <c r="I186" s="3">
        <v>29416.99</v>
      </c>
      <c r="J186" s="3">
        <v>147084.93</v>
      </c>
      <c r="K186" s="3">
        <v>94847.03</v>
      </c>
      <c r="L186" s="3">
        <v>52237.9</v>
      </c>
      <c r="M186" s="1">
        <v>35.520000000000003</v>
      </c>
    </row>
    <row r="187" spans="1:13" x14ac:dyDescent="0.35">
      <c r="A187" s="1" t="s">
        <v>231</v>
      </c>
      <c r="B187" s="2">
        <v>45633</v>
      </c>
      <c r="C187" s="1" t="s">
        <v>252</v>
      </c>
      <c r="D187" s="1" t="s">
        <v>26</v>
      </c>
      <c r="E187" s="1" t="s">
        <v>13</v>
      </c>
      <c r="F187" s="1" t="s">
        <v>60</v>
      </c>
      <c r="G187" s="1" t="s">
        <v>22</v>
      </c>
      <c r="H187" s="1">
        <v>2</v>
      </c>
      <c r="I187" s="3">
        <v>17828.88</v>
      </c>
      <c r="J187" s="3">
        <v>35657.769999999997</v>
      </c>
      <c r="K187" s="3">
        <v>23125.37</v>
      </c>
      <c r="L187" s="3">
        <v>12532.4</v>
      </c>
      <c r="M187" s="1">
        <v>35.15</v>
      </c>
    </row>
    <row r="188" spans="1:13" x14ac:dyDescent="0.35">
      <c r="A188" s="1" t="s">
        <v>232</v>
      </c>
      <c r="B188" s="2">
        <v>45506</v>
      </c>
      <c r="C188" s="1" t="s">
        <v>257</v>
      </c>
      <c r="D188" s="1" t="s">
        <v>24</v>
      </c>
      <c r="E188" s="1" t="s">
        <v>27</v>
      </c>
      <c r="F188" s="1" t="s">
        <v>78</v>
      </c>
      <c r="G188" s="1" t="s">
        <v>15</v>
      </c>
      <c r="H188" s="1">
        <v>1</v>
      </c>
      <c r="I188" s="3">
        <v>49030.16</v>
      </c>
      <c r="J188" s="3">
        <v>49030.16</v>
      </c>
      <c r="K188" s="3">
        <v>29622.23</v>
      </c>
      <c r="L188" s="3">
        <v>19407.93</v>
      </c>
      <c r="M188" s="1">
        <v>39.58</v>
      </c>
    </row>
    <row r="189" spans="1:13" x14ac:dyDescent="0.35">
      <c r="A189" s="1" t="s">
        <v>233</v>
      </c>
      <c r="B189" s="2">
        <v>45528</v>
      </c>
      <c r="C189" s="1" t="s">
        <v>257</v>
      </c>
      <c r="D189" s="1" t="s">
        <v>24</v>
      </c>
      <c r="E189" s="1" t="s">
        <v>27</v>
      </c>
      <c r="F189" s="1" t="s">
        <v>28</v>
      </c>
      <c r="G189" s="1" t="s">
        <v>22</v>
      </c>
      <c r="H189" s="1">
        <v>6</v>
      </c>
      <c r="I189" s="3">
        <v>18225.27</v>
      </c>
      <c r="J189" s="3">
        <v>109351.63</v>
      </c>
      <c r="K189" s="3">
        <v>64754.79</v>
      </c>
      <c r="L189" s="3">
        <v>44596.83</v>
      </c>
      <c r="M189" s="1">
        <v>40.78</v>
      </c>
    </row>
    <row r="190" spans="1:13" x14ac:dyDescent="0.35">
      <c r="A190" s="1" t="s">
        <v>234</v>
      </c>
      <c r="B190" s="2">
        <v>45445</v>
      </c>
      <c r="C190" s="1" t="s">
        <v>256</v>
      </c>
      <c r="D190" s="1" t="s">
        <v>12</v>
      </c>
      <c r="E190" s="1" t="s">
        <v>35</v>
      </c>
      <c r="F190" s="1" t="s">
        <v>44</v>
      </c>
      <c r="G190" s="1" t="s">
        <v>22</v>
      </c>
      <c r="H190" s="1">
        <v>2</v>
      </c>
      <c r="I190" s="3">
        <v>16361.54</v>
      </c>
      <c r="J190" s="3">
        <v>32723.07</v>
      </c>
      <c r="K190" s="3">
        <v>18057.87</v>
      </c>
      <c r="L190" s="3">
        <v>14665.2</v>
      </c>
      <c r="M190" s="1">
        <v>44.82</v>
      </c>
    </row>
    <row r="191" spans="1:13" x14ac:dyDescent="0.35">
      <c r="A191" s="1" t="s">
        <v>235</v>
      </c>
      <c r="B191" s="2">
        <v>45437</v>
      </c>
      <c r="C191" s="1" t="s">
        <v>17</v>
      </c>
      <c r="D191" s="1" t="s">
        <v>12</v>
      </c>
      <c r="E191" s="1" t="s">
        <v>13</v>
      </c>
      <c r="F191" s="1" t="s">
        <v>90</v>
      </c>
      <c r="G191" s="1" t="s">
        <v>244</v>
      </c>
      <c r="H191" s="1">
        <v>1</v>
      </c>
      <c r="I191" s="3">
        <v>3096.22</v>
      </c>
      <c r="J191" s="3">
        <v>3096.22</v>
      </c>
      <c r="K191" s="3">
        <v>1874.51</v>
      </c>
      <c r="L191" s="3">
        <v>1221.71</v>
      </c>
      <c r="M191" s="1">
        <v>39.46</v>
      </c>
    </row>
    <row r="192" spans="1:13" x14ac:dyDescent="0.35">
      <c r="A192" s="1" t="s">
        <v>236</v>
      </c>
      <c r="B192" s="2">
        <v>45444</v>
      </c>
      <c r="C192" s="1" t="s">
        <v>256</v>
      </c>
      <c r="D192" s="1" t="s">
        <v>12</v>
      </c>
      <c r="E192" s="1" t="s">
        <v>18</v>
      </c>
      <c r="F192" s="1" t="s">
        <v>30</v>
      </c>
      <c r="G192" s="1" t="s">
        <v>244</v>
      </c>
      <c r="H192" s="1">
        <v>7</v>
      </c>
      <c r="I192" s="3">
        <v>2426.31</v>
      </c>
      <c r="J192" s="3">
        <v>16984.2</v>
      </c>
      <c r="K192" s="3">
        <v>9579.1200000000008</v>
      </c>
      <c r="L192" s="3">
        <v>7405.08</v>
      </c>
      <c r="M192" s="1">
        <v>43.6</v>
      </c>
    </row>
    <row r="193" spans="1:13" x14ac:dyDescent="0.35">
      <c r="A193" s="1" t="s">
        <v>237</v>
      </c>
      <c r="B193" s="2">
        <v>45318</v>
      </c>
      <c r="C193" s="1" t="s">
        <v>258</v>
      </c>
      <c r="D193" s="1" t="s">
        <v>34</v>
      </c>
      <c r="E193" s="1" t="s">
        <v>27</v>
      </c>
      <c r="F193" s="1" t="s">
        <v>28</v>
      </c>
      <c r="G193" s="1" t="s">
        <v>39</v>
      </c>
      <c r="H193" s="1">
        <v>3</v>
      </c>
      <c r="I193" s="3">
        <v>33961.199999999997</v>
      </c>
      <c r="J193" s="3">
        <v>101883.59</v>
      </c>
      <c r="K193" s="3">
        <v>62154.26</v>
      </c>
      <c r="L193" s="3">
        <v>39729.33</v>
      </c>
      <c r="M193" s="1">
        <v>38.99</v>
      </c>
    </row>
    <row r="194" spans="1:13" x14ac:dyDescent="0.35">
      <c r="A194" s="1" t="s">
        <v>238</v>
      </c>
      <c r="B194" s="2">
        <v>45600</v>
      </c>
      <c r="C194" s="1" t="s">
        <v>254</v>
      </c>
      <c r="D194" s="1" t="s">
        <v>26</v>
      </c>
      <c r="E194" s="1" t="s">
        <v>35</v>
      </c>
      <c r="F194" s="1" t="s">
        <v>44</v>
      </c>
      <c r="G194" s="1" t="s">
        <v>22</v>
      </c>
      <c r="H194" s="1">
        <v>2</v>
      </c>
      <c r="I194" s="3">
        <v>17021.91</v>
      </c>
      <c r="J194" s="3">
        <v>34043.82</v>
      </c>
      <c r="K194" s="3">
        <v>21348.57</v>
      </c>
      <c r="L194" s="3">
        <v>12695.24</v>
      </c>
      <c r="M194" s="1">
        <v>37.29</v>
      </c>
    </row>
    <row r="195" spans="1:13" x14ac:dyDescent="0.35">
      <c r="A195" s="1" t="s">
        <v>239</v>
      </c>
      <c r="B195" s="2">
        <v>45337</v>
      </c>
      <c r="C195" s="1" t="s">
        <v>255</v>
      </c>
      <c r="D195" s="1" t="s">
        <v>34</v>
      </c>
      <c r="E195" s="1" t="s">
        <v>35</v>
      </c>
      <c r="F195" s="1" t="s">
        <v>36</v>
      </c>
      <c r="G195" s="1" t="s">
        <v>39</v>
      </c>
      <c r="H195" s="1">
        <v>3</v>
      </c>
      <c r="I195" s="3">
        <v>27765.56</v>
      </c>
      <c r="J195" s="3">
        <v>83296.69</v>
      </c>
      <c r="K195" s="3">
        <v>46565.66</v>
      </c>
      <c r="L195" s="3">
        <v>36731.03</v>
      </c>
      <c r="M195" s="1">
        <v>44.1</v>
      </c>
    </row>
    <row r="196" spans="1:13" x14ac:dyDescent="0.35">
      <c r="A196" s="1" t="s">
        <v>240</v>
      </c>
      <c r="B196" s="2">
        <v>45573</v>
      </c>
      <c r="C196" s="1" t="s">
        <v>260</v>
      </c>
      <c r="D196" s="1" t="s">
        <v>26</v>
      </c>
      <c r="E196" s="1" t="s">
        <v>13</v>
      </c>
      <c r="F196" s="1" t="s">
        <v>19</v>
      </c>
      <c r="G196" s="1" t="s">
        <v>15</v>
      </c>
      <c r="H196" s="1">
        <v>3</v>
      </c>
      <c r="I196" s="3">
        <v>50335.09</v>
      </c>
      <c r="J196" s="3">
        <v>151005.26999999999</v>
      </c>
      <c r="K196" s="3">
        <v>93910.87</v>
      </c>
      <c r="L196" s="3">
        <v>57094.400000000001</v>
      </c>
      <c r="M196" s="1">
        <v>37.81</v>
      </c>
    </row>
    <row r="197" spans="1:13" x14ac:dyDescent="0.35">
      <c r="A197" s="1" t="s">
        <v>241</v>
      </c>
      <c r="B197" s="2">
        <v>45586</v>
      </c>
      <c r="C197" s="1" t="s">
        <v>260</v>
      </c>
      <c r="D197" s="1" t="s">
        <v>26</v>
      </c>
      <c r="E197" s="1" t="s">
        <v>18</v>
      </c>
      <c r="F197" s="1" t="s">
        <v>21</v>
      </c>
      <c r="G197" s="1" t="s">
        <v>39</v>
      </c>
      <c r="H197" s="1">
        <v>7</v>
      </c>
      <c r="I197" s="3">
        <v>34955.07</v>
      </c>
      <c r="J197" s="3">
        <v>244685.47</v>
      </c>
      <c r="K197" s="3">
        <v>157499.87</v>
      </c>
      <c r="L197" s="3">
        <v>87185.600000000006</v>
      </c>
      <c r="M197" s="1">
        <v>35.630000000000003</v>
      </c>
    </row>
    <row r="198" spans="1:13" x14ac:dyDescent="0.35">
      <c r="A198" s="1" t="s">
        <v>242</v>
      </c>
      <c r="B198" s="2">
        <v>45360</v>
      </c>
      <c r="C198" s="1" t="s">
        <v>259</v>
      </c>
      <c r="D198" s="1" t="s">
        <v>34</v>
      </c>
      <c r="E198" s="1" t="s">
        <v>27</v>
      </c>
      <c r="F198" s="1" t="s">
        <v>78</v>
      </c>
      <c r="G198" s="1" t="s">
        <v>244</v>
      </c>
      <c r="H198" s="1">
        <v>7</v>
      </c>
      <c r="I198" s="3">
        <v>3049.06</v>
      </c>
      <c r="J198" s="3">
        <v>21343.39</v>
      </c>
      <c r="K198" s="3">
        <v>13008.96</v>
      </c>
      <c r="L198" s="3">
        <v>8334.43</v>
      </c>
      <c r="M198" s="1">
        <v>39.049999999999997</v>
      </c>
    </row>
    <row r="199" spans="1:13" x14ac:dyDescent="0.35">
      <c r="A199" s="1" t="s">
        <v>243</v>
      </c>
      <c r="B199" s="2">
        <v>45628</v>
      </c>
      <c r="C199" s="1" t="s">
        <v>252</v>
      </c>
      <c r="D199" s="1" t="s">
        <v>26</v>
      </c>
      <c r="E199" s="1" t="s">
        <v>35</v>
      </c>
      <c r="F199" s="1" t="s">
        <v>52</v>
      </c>
      <c r="G199" s="1" t="s">
        <v>22</v>
      </c>
      <c r="H199" s="1">
        <v>3</v>
      </c>
      <c r="I199" s="3">
        <v>16671.22</v>
      </c>
      <c r="J199" s="3">
        <v>50013.66</v>
      </c>
      <c r="K199" s="3">
        <v>31363.13</v>
      </c>
      <c r="L199" s="3">
        <v>18650.53</v>
      </c>
      <c r="M199" s="1">
        <v>37.29</v>
      </c>
    </row>
    <row r="200" spans="1:13" x14ac:dyDescent="0.35">
      <c r="A200" s="1" t="s">
        <v>266</v>
      </c>
      <c r="B200" s="2">
        <v>45444</v>
      </c>
      <c r="C200" s="1" t="s">
        <v>256</v>
      </c>
      <c r="D200" s="1" t="s">
        <v>12</v>
      </c>
      <c r="E200" s="1" t="s">
        <v>18</v>
      </c>
      <c r="F200" s="1" t="s">
        <v>30</v>
      </c>
      <c r="G200" s="1" t="s">
        <v>244</v>
      </c>
      <c r="H200" s="1">
        <v>7</v>
      </c>
      <c r="I200" s="3">
        <v>2426.31</v>
      </c>
      <c r="J200" s="3">
        <v>16984.2</v>
      </c>
      <c r="K200" s="3">
        <v>9579.1200000000008</v>
      </c>
      <c r="L200" s="3">
        <v>7405.08</v>
      </c>
      <c r="M200" s="1">
        <v>43.6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252BA-C71A-404F-89FE-EF909B1A50FD}">
  <dimension ref="A3:O43"/>
  <sheetViews>
    <sheetView tabSelected="1" topLeftCell="B1" zoomScale="87" zoomScaleNormal="100" workbookViewId="0">
      <selection activeCell="I6" sqref="I6:J11"/>
    </sheetView>
  </sheetViews>
  <sheetFormatPr defaultRowHeight="17.25" x14ac:dyDescent="0.35"/>
  <cols>
    <col min="1" max="1" width="13.5" bestFit="1" customWidth="1"/>
    <col min="2" max="2" width="12.375" bestFit="1" customWidth="1"/>
    <col min="3" max="3" width="13.25" bestFit="1" customWidth="1"/>
    <col min="5" max="5" width="13.5" bestFit="1" customWidth="1"/>
    <col min="6" max="6" width="12.375" bestFit="1" customWidth="1"/>
    <col min="8" max="8" width="16.5" bestFit="1" customWidth="1"/>
    <col min="9" max="9" width="13.5" bestFit="1" customWidth="1"/>
    <col min="10" max="10" width="17.625" bestFit="1" customWidth="1"/>
    <col min="11" max="11" width="22.625" bestFit="1" customWidth="1"/>
    <col min="12" max="12" width="13.5" bestFit="1" customWidth="1"/>
    <col min="13" max="13" width="17.625" bestFit="1" customWidth="1"/>
    <col min="14" max="14" width="13.25" bestFit="1" customWidth="1"/>
    <col min="15" max="15" width="17.625" bestFit="1" customWidth="1"/>
    <col min="16" max="25" width="10.375" bestFit="1" customWidth="1"/>
    <col min="26" max="26" width="11.875" bestFit="1" customWidth="1"/>
  </cols>
  <sheetData>
    <row r="3" spans="1:15" x14ac:dyDescent="0.35">
      <c r="A3" s="8" t="s">
        <v>246</v>
      </c>
      <c r="B3" t="s">
        <v>249</v>
      </c>
      <c r="C3" t="s">
        <v>248</v>
      </c>
      <c r="M3" s="8" t="s">
        <v>246</v>
      </c>
      <c r="N3" t="s">
        <v>248</v>
      </c>
    </row>
    <row r="4" spans="1:15" x14ac:dyDescent="0.35">
      <c r="A4" s="9" t="s">
        <v>258</v>
      </c>
      <c r="B4" s="11">
        <v>2093087.7499999998</v>
      </c>
      <c r="C4" s="11">
        <v>847200.94999999984</v>
      </c>
      <c r="E4" t="s">
        <v>249</v>
      </c>
      <c r="F4" t="s">
        <v>248</v>
      </c>
      <c r="H4" t="s">
        <v>262</v>
      </c>
      <c r="I4" t="s">
        <v>264</v>
      </c>
      <c r="M4" s="9" t="s">
        <v>244</v>
      </c>
      <c r="N4" s="11">
        <v>314614.62999999995</v>
      </c>
    </row>
    <row r="5" spans="1:15" x14ac:dyDescent="0.35">
      <c r="A5" s="9" t="s">
        <v>255</v>
      </c>
      <c r="B5" s="11">
        <v>1660792.95</v>
      </c>
      <c r="C5" s="11">
        <v>649093.62999999989</v>
      </c>
      <c r="E5" s="12">
        <v>21409562.72000001</v>
      </c>
      <c r="F5" s="12">
        <v>8618678.0200000014</v>
      </c>
      <c r="H5" s="4">
        <v>43528.676868686875</v>
      </c>
      <c r="I5" s="4">
        <v>108129.10464646469</v>
      </c>
      <c r="M5" s="9" t="s">
        <v>15</v>
      </c>
      <c r="N5" s="11">
        <v>4594825.5999999996</v>
      </c>
    </row>
    <row r="6" spans="1:15" x14ac:dyDescent="0.35">
      <c r="A6" s="9" t="s">
        <v>259</v>
      </c>
      <c r="B6" s="11">
        <v>1180533.6499999997</v>
      </c>
      <c r="C6" s="11">
        <v>505034.61</v>
      </c>
      <c r="I6" s="8" t="s">
        <v>246</v>
      </c>
      <c r="J6" t="s">
        <v>263</v>
      </c>
      <c r="M6" s="9" t="s">
        <v>22</v>
      </c>
      <c r="N6" s="11">
        <v>1855881.0799999998</v>
      </c>
    </row>
    <row r="7" spans="1:15" x14ac:dyDescent="0.35">
      <c r="A7" s="9" t="s">
        <v>250</v>
      </c>
      <c r="B7" s="11">
        <v>1819036.19</v>
      </c>
      <c r="C7" s="11">
        <v>743542.62999999989</v>
      </c>
      <c r="I7" s="9" t="s">
        <v>18</v>
      </c>
      <c r="J7" s="11">
        <v>7458899.8099999996</v>
      </c>
      <c r="M7" s="9" t="s">
        <v>39</v>
      </c>
      <c r="N7" s="11">
        <v>1853356.7100000002</v>
      </c>
    </row>
    <row r="8" spans="1:15" x14ac:dyDescent="0.35">
      <c r="A8" s="9" t="s">
        <v>17</v>
      </c>
      <c r="B8" s="11">
        <v>1955545.5099999998</v>
      </c>
      <c r="C8" s="11">
        <v>782276.91999999993</v>
      </c>
      <c r="I8" s="9" t="s">
        <v>27</v>
      </c>
      <c r="J8" s="11">
        <v>4451992.55</v>
      </c>
      <c r="M8" s="9" t="s">
        <v>247</v>
      </c>
      <c r="N8" s="11">
        <v>8618678.0199999996</v>
      </c>
    </row>
    <row r="9" spans="1:15" x14ac:dyDescent="0.35">
      <c r="A9" s="9" t="s">
        <v>256</v>
      </c>
      <c r="B9" s="11">
        <v>1141534.8700000001</v>
      </c>
      <c r="C9" s="11">
        <v>464513.26000000007</v>
      </c>
      <c r="I9" s="9" t="s">
        <v>35</v>
      </c>
      <c r="J9" s="11">
        <v>4228538.87</v>
      </c>
    </row>
    <row r="10" spans="1:15" x14ac:dyDescent="0.35">
      <c r="A10" s="9" t="s">
        <v>251</v>
      </c>
      <c r="B10" s="11">
        <v>1753062.5499999998</v>
      </c>
      <c r="C10" s="11">
        <v>736556.59</v>
      </c>
      <c r="I10" s="9" t="s">
        <v>13</v>
      </c>
      <c r="J10" s="11">
        <v>5270131.4899999984</v>
      </c>
      <c r="M10" s="8" t="s">
        <v>246</v>
      </c>
      <c r="N10" t="s">
        <v>248</v>
      </c>
      <c r="O10" t="s">
        <v>263</v>
      </c>
    </row>
    <row r="11" spans="1:15" x14ac:dyDescent="0.35">
      <c r="A11" s="9" t="s">
        <v>257</v>
      </c>
      <c r="B11" s="11">
        <v>3341522.33</v>
      </c>
      <c r="C11" s="11">
        <v>1336964.6500000001</v>
      </c>
      <c r="I11" s="9" t="s">
        <v>247</v>
      </c>
      <c r="J11" s="11">
        <v>21409562.719999999</v>
      </c>
      <c r="M11" s="9" t="s">
        <v>258</v>
      </c>
      <c r="N11" s="11">
        <v>847200.94999999984</v>
      </c>
      <c r="O11" s="11">
        <v>2093087.7499999998</v>
      </c>
    </row>
    <row r="12" spans="1:15" x14ac:dyDescent="0.35">
      <c r="A12" s="9" t="s">
        <v>253</v>
      </c>
      <c r="B12" s="11">
        <v>1454357.6700000002</v>
      </c>
      <c r="C12" s="11">
        <v>584560.96</v>
      </c>
      <c r="E12">
        <v>0</v>
      </c>
      <c r="M12" s="9" t="s">
        <v>255</v>
      </c>
      <c r="N12" s="11">
        <v>649093.62999999989</v>
      </c>
      <c r="O12" s="11">
        <v>1660792.95</v>
      </c>
    </row>
    <row r="13" spans="1:15" x14ac:dyDescent="0.35">
      <c r="A13" s="9" t="s">
        <v>260</v>
      </c>
      <c r="B13" s="11">
        <v>1946872.08</v>
      </c>
      <c r="C13" s="11">
        <v>753234.65999999992</v>
      </c>
      <c r="M13" s="9" t="s">
        <v>259</v>
      </c>
      <c r="N13" s="11">
        <v>505034.61</v>
      </c>
      <c r="O13" s="11">
        <v>1180533.6499999997</v>
      </c>
    </row>
    <row r="14" spans="1:15" x14ac:dyDescent="0.35">
      <c r="A14" s="9" t="s">
        <v>254</v>
      </c>
      <c r="B14" s="11">
        <v>1579034.5199999998</v>
      </c>
      <c r="C14" s="11">
        <v>622325.92000000004</v>
      </c>
      <c r="M14" s="9" t="s">
        <v>250</v>
      </c>
      <c r="N14" s="11">
        <v>743542.62999999989</v>
      </c>
      <c r="O14" s="11">
        <v>1819036.19</v>
      </c>
    </row>
    <row r="15" spans="1:15" x14ac:dyDescent="0.35">
      <c r="A15" s="9" t="s">
        <v>252</v>
      </c>
      <c r="B15" s="11">
        <v>1484182.65</v>
      </c>
      <c r="C15" s="11">
        <v>593373.24000000011</v>
      </c>
      <c r="M15" s="9" t="s">
        <v>17</v>
      </c>
      <c r="N15" s="11">
        <v>782276.91999999993</v>
      </c>
      <c r="O15" s="11">
        <v>1955545.5099999998</v>
      </c>
    </row>
    <row r="16" spans="1:15" x14ac:dyDescent="0.35">
      <c r="A16" s="9" t="s">
        <v>247</v>
      </c>
      <c r="B16" s="11">
        <v>21409562.719999995</v>
      </c>
      <c r="C16" s="11">
        <v>8618678.0199999996</v>
      </c>
      <c r="M16" s="9" t="s">
        <v>256</v>
      </c>
      <c r="N16" s="11">
        <v>464513.26000000007</v>
      </c>
      <c r="O16" s="11">
        <v>1141534.8700000001</v>
      </c>
    </row>
    <row r="17" spans="12:15" x14ac:dyDescent="0.35">
      <c r="M17" s="9" t="s">
        <v>251</v>
      </c>
      <c r="N17" s="11">
        <v>736556.59</v>
      </c>
      <c r="O17" s="11">
        <v>1753062.5499999998</v>
      </c>
    </row>
    <row r="18" spans="12:15" x14ac:dyDescent="0.35">
      <c r="M18" s="9" t="s">
        <v>257</v>
      </c>
      <c r="N18" s="11">
        <v>1336964.6500000001</v>
      </c>
      <c r="O18" s="11">
        <v>3341522.33</v>
      </c>
    </row>
    <row r="19" spans="12:15" x14ac:dyDescent="0.35">
      <c r="M19" s="9" t="s">
        <v>253</v>
      </c>
      <c r="N19" s="11">
        <v>584560.96</v>
      </c>
      <c r="O19" s="11">
        <v>1454357.6700000002</v>
      </c>
    </row>
    <row r="20" spans="12:15" x14ac:dyDescent="0.35">
      <c r="M20" s="9" t="s">
        <v>260</v>
      </c>
      <c r="N20" s="11">
        <v>753234.65999999992</v>
      </c>
      <c r="O20" s="11">
        <v>1946872.08</v>
      </c>
    </row>
    <row r="21" spans="12:15" x14ac:dyDescent="0.35">
      <c r="M21" s="9" t="s">
        <v>254</v>
      </c>
      <c r="N21" s="11">
        <v>622325.92000000004</v>
      </c>
      <c r="O21" s="11">
        <v>1579034.5199999998</v>
      </c>
    </row>
    <row r="22" spans="12:15" x14ac:dyDescent="0.35">
      <c r="M22" s="9" t="s">
        <v>252</v>
      </c>
      <c r="N22" s="11">
        <v>593373.24000000011</v>
      </c>
      <c r="O22" s="11">
        <v>1484182.65</v>
      </c>
    </row>
    <row r="23" spans="12:15" x14ac:dyDescent="0.35">
      <c r="M23" s="9" t="s">
        <v>247</v>
      </c>
      <c r="N23" s="11">
        <v>8618678.0199999996</v>
      </c>
      <c r="O23" s="11">
        <v>21409562.719999995</v>
      </c>
    </row>
    <row r="26" spans="12:15" x14ac:dyDescent="0.35">
      <c r="L26" s="8" t="s">
        <v>246</v>
      </c>
      <c r="M26" t="s">
        <v>263</v>
      </c>
      <c r="N26" t="s">
        <v>248</v>
      </c>
    </row>
    <row r="27" spans="12:15" x14ac:dyDescent="0.35">
      <c r="L27" s="9" t="s">
        <v>244</v>
      </c>
      <c r="M27" s="11">
        <v>785829.87999999977</v>
      </c>
      <c r="N27" s="11">
        <v>314614.62999999995</v>
      </c>
    </row>
    <row r="28" spans="12:15" x14ac:dyDescent="0.35">
      <c r="L28" s="9" t="s">
        <v>15</v>
      </c>
      <c r="M28" s="11">
        <v>11380423.540000001</v>
      </c>
      <c r="N28" s="11">
        <v>4594825.5999999996</v>
      </c>
    </row>
    <row r="29" spans="12:15" x14ac:dyDescent="0.35">
      <c r="L29" s="9" t="s">
        <v>22</v>
      </c>
      <c r="M29" s="11">
        <v>4667481.8000000007</v>
      </c>
      <c r="N29" s="11">
        <v>1855881.0799999998</v>
      </c>
    </row>
    <row r="30" spans="12:15" x14ac:dyDescent="0.35">
      <c r="L30" s="9" t="s">
        <v>39</v>
      </c>
      <c r="M30" s="11">
        <v>4575827.5</v>
      </c>
      <c r="N30" s="11">
        <v>1853356.7100000002</v>
      </c>
    </row>
    <row r="31" spans="12:15" x14ac:dyDescent="0.35">
      <c r="L31" s="9" t="s">
        <v>247</v>
      </c>
      <c r="M31" s="11">
        <v>21409562.719999999</v>
      </c>
      <c r="N31" s="11">
        <v>8618678.0199999996</v>
      </c>
    </row>
    <row r="38" spans="5:6" x14ac:dyDescent="0.35">
      <c r="E38" s="8" t="s">
        <v>246</v>
      </c>
      <c r="F38" t="s">
        <v>249</v>
      </c>
    </row>
    <row r="39" spans="5:6" x14ac:dyDescent="0.35">
      <c r="E39" s="9" t="s">
        <v>34</v>
      </c>
      <c r="F39" s="12">
        <v>4934414.3499999987</v>
      </c>
    </row>
    <row r="40" spans="5:6" x14ac:dyDescent="0.35">
      <c r="E40" s="9" t="s">
        <v>12</v>
      </c>
      <c r="F40" s="12">
        <v>4916116.5699999994</v>
      </c>
    </row>
    <row r="41" spans="5:6" x14ac:dyDescent="0.35">
      <c r="E41" s="9" t="s">
        <v>24</v>
      </c>
      <c r="F41" s="12">
        <v>6548942.5499999998</v>
      </c>
    </row>
    <row r="42" spans="5:6" x14ac:dyDescent="0.35">
      <c r="E42" s="9" t="s">
        <v>26</v>
      </c>
      <c r="F42" s="12">
        <v>5010089.25</v>
      </c>
    </row>
    <row r="43" spans="5:6" x14ac:dyDescent="0.35">
      <c r="E43" s="9" t="s">
        <v>247</v>
      </c>
      <c r="F43" s="12">
        <v>21409562.719999999</v>
      </c>
    </row>
  </sheetData>
  <pageMargins left="0.7" right="0.7" top="0.75" bottom="0.75" header="0.3" footer="0.3"/>
  <pageSetup paperSize="0" orientation="portrait" horizontalDpi="0" verticalDpi="0" copies="0"/>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0900D-0FCC-439C-A7B3-F2930386B9C8}">
  <dimension ref="E20:H22"/>
  <sheetViews>
    <sheetView showGridLines="0" showRowColHeaders="0" zoomScale="87" zoomScaleNormal="86" workbookViewId="0">
      <selection activeCell="T16" sqref="T16"/>
      <extLst>
        <ext xmlns:xlsdti="http://schemas.microsoft.com/office/spreadsheetml/2023/showDataTypeIcons" uri="{77bfe23e-c014-4d31-8a63-9c772dbf06b6}">
          <xlsdti:showDataTypeIcons visible="0"/>
        </ext>
      </extLst>
    </sheetView>
  </sheetViews>
  <sheetFormatPr defaultRowHeight="17.25" x14ac:dyDescent="0.35"/>
  <sheetData>
    <row r="20" spans="5:8" x14ac:dyDescent="0.35">
      <c r="H20" s="10" t="s">
        <v>265</v>
      </c>
    </row>
    <row r="22" spans="5:8" x14ac:dyDescent="0.35">
      <c r="E22" s="10"/>
    </row>
  </sheetData>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74860B-7132-4EE0-90BC-9B93414666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Techvision_Sales_Dataset</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Rumman Siddiqui</dc:creator>
  <cp:lastModifiedBy>Rumman Siddiqui</cp:lastModifiedBy>
  <dcterms:created xsi:type="dcterms:W3CDTF">2025-11-25T15:52:10Z</dcterms:created>
  <dcterms:modified xsi:type="dcterms:W3CDTF">2025-12-13T09:14:03Z</dcterms:modified>
</cp:coreProperties>
</file>